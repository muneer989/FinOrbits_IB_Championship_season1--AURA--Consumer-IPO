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mee\OneDrive\Documents\"/>
    </mc:Choice>
  </mc:AlternateContent>
  <xr:revisionPtr revIDLastSave="0" documentId="8_{955EBCDE-6977-5C40-9657-96EF5BBDD93D}" xr6:coauthVersionLast="47" xr6:coauthVersionMax="47" xr10:uidLastSave="{00000000-0000-0000-0000-000000000000}"/>
  <bookViews>
    <workbookView xWindow="-108" yWindow="-108" windowWidth="23256" windowHeight="12456" tabRatio="593" activeTab="6" xr2:uid="{00000000-000D-0000-FFFF-FFFF00000000}"/>
  </bookViews>
  <sheets>
    <sheet name="COVER" sheetId="1" r:id="rId1"/>
    <sheet name="HISTORICAL" sheetId="2" r:id="rId2"/>
    <sheet name="ASSUMPTIONS" sheetId="3" r:id="rId3"/>
    <sheet name="PROJECTIONS" sheetId="4" r:id="rId4"/>
    <sheet name="DCF VALUATION" sheetId="5" r:id="rId5"/>
    <sheet name="COMPARABLES" sheetId="6" r:id="rId6"/>
    <sheet name="SUMMARY" sheetId="7" r:id="rId7"/>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8" i="7" l="1"/>
  <c r="C8" i="7"/>
  <c r="F8" i="7"/>
  <c r="B8" i="7"/>
  <c r="E33" i="6"/>
  <c r="G33" i="6"/>
  <c r="G31" i="6"/>
  <c r="E31" i="6"/>
  <c r="D32" i="6"/>
  <c r="D31" i="6"/>
  <c r="C32" i="6"/>
  <c r="E32" i="6"/>
  <c r="G32" i="6"/>
  <c r="C31" i="6"/>
  <c r="B27" i="6"/>
  <c r="B26" i="6"/>
  <c r="B25" i="6"/>
  <c r="B24" i="6"/>
  <c r="F19" i="6"/>
  <c r="F18" i="6"/>
  <c r="F17" i="6"/>
  <c r="F16" i="6"/>
  <c r="F15" i="6"/>
  <c r="E19" i="6"/>
  <c r="E18" i="6"/>
  <c r="E17" i="6"/>
  <c r="E16" i="6"/>
  <c r="E15" i="6"/>
  <c r="D19" i="6"/>
  <c r="D18" i="6"/>
  <c r="D17" i="6"/>
  <c r="D16" i="6"/>
  <c r="D15" i="6"/>
  <c r="C19" i="6"/>
  <c r="C18" i="6"/>
  <c r="G11" i="6"/>
  <c r="G10" i="6"/>
  <c r="G9" i="6"/>
  <c r="G8" i="6"/>
  <c r="C16" i="6"/>
  <c r="G7" i="6"/>
  <c r="F11" i="6"/>
  <c r="F10" i="6"/>
  <c r="F9" i="6"/>
  <c r="F8" i="6"/>
  <c r="F7" i="6"/>
  <c r="C17" i="6"/>
  <c r="B40" i="5"/>
  <c r="J11" i="6"/>
  <c r="J10" i="6"/>
  <c r="J9" i="6"/>
  <c r="J8" i="6"/>
  <c r="J7" i="6"/>
  <c r="B35" i="5"/>
  <c r="B17" i="5"/>
  <c r="B15" i="5"/>
  <c r="B47" i="5"/>
  <c r="B36" i="5"/>
  <c r="F27" i="5"/>
  <c r="E27" i="5"/>
  <c r="D27" i="5"/>
  <c r="C27" i="5"/>
  <c r="B27" i="5"/>
  <c r="F26" i="5"/>
  <c r="E26" i="5"/>
  <c r="D26" i="5"/>
  <c r="C26" i="5"/>
  <c r="B26" i="5"/>
  <c r="F25" i="5"/>
  <c r="E25" i="5"/>
  <c r="D25" i="5"/>
  <c r="C25" i="5"/>
  <c r="B25" i="5"/>
  <c r="F24" i="5"/>
  <c r="E24" i="5"/>
  <c r="D24" i="5"/>
  <c r="C24" i="5"/>
  <c r="B24" i="5"/>
  <c r="F23" i="5"/>
  <c r="E23" i="5"/>
  <c r="D23" i="5"/>
  <c r="C23" i="5"/>
  <c r="B23" i="5"/>
  <c r="F22" i="5"/>
  <c r="E22" i="5"/>
  <c r="D22" i="5"/>
  <c r="C22" i="5"/>
  <c r="B22" i="5"/>
  <c r="F21" i="5"/>
  <c r="E21" i="5"/>
  <c r="D21" i="5"/>
  <c r="C21" i="5"/>
  <c r="B21" i="5"/>
  <c r="B13" i="5"/>
  <c r="B12" i="5"/>
  <c r="B10" i="5"/>
  <c r="B8" i="5"/>
  <c r="B9" i="5"/>
  <c r="B11" i="4"/>
  <c r="F29" i="4"/>
  <c r="G29" i="4"/>
  <c r="H29" i="4"/>
  <c r="I29" i="4"/>
  <c r="E29" i="4"/>
  <c r="B13" i="4"/>
  <c r="B12" i="4"/>
  <c r="E26" i="4"/>
  <c r="F26" i="4"/>
  <c r="G26" i="4"/>
  <c r="H26" i="4"/>
  <c r="I26" i="4"/>
  <c r="C6" i="3"/>
  <c r="D9" i="7"/>
  <c r="C9" i="7"/>
  <c r="F9" i="7"/>
  <c r="B9" i="7"/>
  <c r="C10" i="7"/>
  <c r="B10" i="7"/>
  <c r="D10" i="7"/>
  <c r="D11" i="7" a="1"/>
  <c r="D11" i="7"/>
  <c r="C15" i="6"/>
  <c r="B9" i="4"/>
  <c r="E21" i="4"/>
  <c r="B11" i="7"/>
  <c r="F10" i="7"/>
  <c r="F11" i="7"/>
  <c r="C11" i="7"/>
  <c r="E38" i="4"/>
  <c r="E39" i="4"/>
  <c r="E27" i="4"/>
  <c r="E30" i="4"/>
  <c r="E46" i="4"/>
  <c r="F21" i="4"/>
  <c r="E25" i="4"/>
  <c r="E22" i="4"/>
  <c r="E40" i="4"/>
  <c r="E41" i="4"/>
  <c r="B16" i="5"/>
  <c r="B14" i="5"/>
  <c r="B11" i="5"/>
  <c r="D34" i="4"/>
  <c r="C34" i="4"/>
  <c r="B34" i="4"/>
  <c r="D48" i="2"/>
  <c r="C48" i="2"/>
  <c r="B48" i="2"/>
  <c r="D47" i="2"/>
  <c r="C47" i="2"/>
  <c r="B47" i="2"/>
  <c r="D46" i="2"/>
  <c r="C46" i="2"/>
  <c r="B46" i="2"/>
  <c r="D45" i="2"/>
  <c r="C45" i="2"/>
  <c r="B45" i="2"/>
  <c r="D44" i="2"/>
  <c r="C44" i="2"/>
  <c r="D39" i="2"/>
  <c r="C39" i="2"/>
  <c r="B39" i="2"/>
  <c r="D33" i="2"/>
  <c r="C33" i="2"/>
  <c r="B33" i="2"/>
  <c r="D22" i="2"/>
  <c r="C22" i="2"/>
  <c r="B22" i="2"/>
  <c r="D14" i="2"/>
  <c r="C14" i="2"/>
  <c r="B14" i="2"/>
  <c r="D11" i="2"/>
  <c r="D12" i="2"/>
  <c r="C11" i="2"/>
  <c r="C12" i="2"/>
  <c r="B11" i="2"/>
  <c r="B12" i="2"/>
  <c r="E28" i="4"/>
  <c r="E23" i="4"/>
  <c r="E24" i="4"/>
  <c r="F38" i="4"/>
  <c r="F30" i="4"/>
  <c r="F46" i="4"/>
  <c r="F39" i="4"/>
  <c r="E31" i="4"/>
  <c r="E32" i="4"/>
  <c r="E33" i="4"/>
  <c r="E34" i="4"/>
  <c r="F27" i="4"/>
  <c r="F25" i="4"/>
  <c r="F22" i="4"/>
  <c r="F40" i="4"/>
  <c r="G21" i="4"/>
  <c r="E28" i="5"/>
  <c r="E29" i="5"/>
  <c r="D28" i="5"/>
  <c r="D29" i="5"/>
  <c r="B38" i="5"/>
  <c r="C28" i="5"/>
  <c r="C29" i="5"/>
  <c r="B37" i="5"/>
  <c r="F28" i="5"/>
  <c r="F29" i="5"/>
  <c r="B28" i="5"/>
  <c r="B29" i="5"/>
  <c r="F23" i="4"/>
  <c r="F24" i="4"/>
  <c r="G39" i="4"/>
  <c r="G38" i="4"/>
  <c r="G30" i="4"/>
  <c r="F41" i="4"/>
  <c r="F28" i="4"/>
  <c r="F31" i="4"/>
  <c r="G25" i="4"/>
  <c r="H21" i="4"/>
  <c r="G27" i="4"/>
  <c r="G46" i="4"/>
  <c r="G22" i="4"/>
  <c r="B39" i="5"/>
  <c r="B44" i="5"/>
  <c r="H39" i="4"/>
  <c r="H38" i="4"/>
  <c r="H30" i="4"/>
  <c r="H46" i="4"/>
  <c r="G23" i="4"/>
  <c r="G24" i="4"/>
  <c r="G40" i="4"/>
  <c r="G41" i="4"/>
  <c r="F32" i="4"/>
  <c r="F33" i="4"/>
  <c r="F34" i="4"/>
  <c r="I21" i="4"/>
  <c r="H22" i="4"/>
  <c r="H27" i="4"/>
  <c r="H25" i="4"/>
  <c r="G28" i="4"/>
  <c r="G31" i="4"/>
  <c r="B45" i="5"/>
  <c r="B46" i="5"/>
  <c r="B48" i="5"/>
  <c r="B50" i="5"/>
  <c r="A56" i="5"/>
  <c r="H23" i="4"/>
  <c r="H24" i="4"/>
  <c r="H40" i="4"/>
  <c r="H41" i="4"/>
  <c r="I38" i="4"/>
  <c r="I30" i="4"/>
  <c r="I46" i="4"/>
  <c r="I39" i="4"/>
  <c r="G32" i="4"/>
  <c r="G33" i="4"/>
  <c r="G34" i="4"/>
  <c r="H28" i="4"/>
  <c r="H31" i="4"/>
  <c r="I22" i="4"/>
  <c r="I25" i="4"/>
  <c r="I27" i="4"/>
  <c r="B52" i="5"/>
  <c r="B51" i="5"/>
  <c r="I23" i="4"/>
  <c r="I24" i="4"/>
  <c r="I40" i="4"/>
  <c r="I41" i="4"/>
  <c r="H32" i="4"/>
  <c r="H33" i="4"/>
  <c r="H34" i="4"/>
  <c r="I28" i="4"/>
  <c r="I31" i="4"/>
  <c r="I32" i="4"/>
  <c r="I33" i="4"/>
  <c r="I34"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<sst xmlns="http://schemas.openxmlformats.org/spreadsheetml/2006/main" count="407" uniqueCount="327">
  <si>
    <t>PROJECT LUMINA</t>
  </si>
  <si>
    <t>AURA Consumer Sciences Ltd   |   IPO Valuation   |   FinOrbits IB Championship Season 1</t>
  </si>
  <si>
    <t>SUBMISSION DETAILS</t>
  </si>
  <si>
    <t>Participant Name</t>
  </si>
  <si>
    <t>College / Firm</t>
  </si>
  <si>
    <t>Submission Date</t>
  </si>
  <si>
    <t>COLOR LEGEND  &amp;  USAGE GUIDE</t>
  </si>
  <si>
    <t>Blue bold text</t>
  </si>
  <si>
    <t>Input cells — type your assumptions here</t>
  </si>
  <si>
    <t>Black text</t>
  </si>
  <si>
    <t>Formula cells — calculated automatically, do not type</t>
  </si>
  <si>
    <t>Green text</t>
  </si>
  <si>
    <t>Cross-tab links — pulling from another sheet</t>
  </si>
  <si>
    <t>Light blue bg</t>
  </si>
  <si>
    <t>Assumption input cells — fill these in</t>
  </si>
  <si>
    <t>INSTRUCTIONS  —  READ BEFORE BUILDING</t>
  </si>
  <si>
    <t>Step 1  |  Read the CIM (Project Lumina) and the FinOrbits IB Analyst Handbook completely.</t>
  </si>
  <si>
    <t>Step 2  |  Go to PROJECTIONS tab. Enter your revenue, margin, and working capital assumptions in blue cells.</t>
  </si>
  <si>
    <t>Step 3  |  Go to DCF tab. Enter all WACC inputs — research your own risk-free rate, ERP, beta, and cost of debt. All FCF rows are pre-structured.</t>
  </si>
  <si>
    <t>Step 4  |  Go to COMPARABLES tab. Select your applied multiple and enter your premium/discount commentary.</t>
  </si>
  <si>
    <t>Step 5  |  Complete SUMMARY tab. Fill valuation ranges, weights, and your final IPO recommendation.</t>
  </si>
  <si>
    <t>RULE: Never hardcode a number inside a formula cell. Blue = your input. Black = formula calculates.</t>
  </si>
  <si>
    <t>RULE: Every assumption must be justified in your Investment Memo submission.</t>
  </si>
  <si>
    <t>CONFIDENTIAL  |  Project Lumina  |  FinOrbits IB Championship S1  |  finorbits.com</t>
  </si>
  <si>
    <t>HISTORICAL FINANCIALS  —  AURA CONSUMER SCIENCES LTD</t>
  </si>
  <si>
    <t>READ-ONLY  |  Sourced from AURA audited financials. Do not edit.</t>
  </si>
  <si>
    <t>INCOME STATEMENT  (₹ Crore)</t>
  </si>
  <si>
    <t>₹ Crore</t>
  </si>
  <si>
    <t>FY2022A</t>
  </si>
  <si>
    <t>FY2023A</t>
  </si>
  <si>
    <t>FY2024A</t>
  </si>
  <si>
    <t>Revenue</t>
  </si>
  <si>
    <t xml:space="preserve">  COGS</t>
  </si>
  <si>
    <t>Gross Profit</t>
  </si>
  <si>
    <t xml:space="preserve">  Gross Margin %</t>
  </si>
  <si>
    <t>EBITDA</t>
  </si>
  <si>
    <t xml:space="preserve">  EBITDA Margin %</t>
  </si>
  <si>
    <t xml:space="preserve">  D&amp;A</t>
  </si>
  <si>
    <t>EBIT</t>
  </si>
  <si>
    <t xml:space="preserve">  Interest Expense</t>
  </si>
  <si>
    <t>PBT</t>
  </si>
  <si>
    <t xml:space="preserve">  Tax (25%)</t>
  </si>
  <si>
    <t>PAT</t>
  </si>
  <si>
    <t xml:space="preserve">  PAT Margin %</t>
  </si>
  <si>
    <t>BALANCE SHEET  (₹ Crore)</t>
  </si>
  <si>
    <t>ASSETS</t>
  </si>
  <si>
    <t xml:space="preserve">  Fixed Assets (Net)</t>
  </si>
  <si>
    <t xml:space="preserve">  Inventories</t>
  </si>
  <si>
    <t xml:space="preserve">  Trade Receivables</t>
  </si>
  <si>
    <t xml:space="preserve">  Cash &amp; Equivalents</t>
  </si>
  <si>
    <t xml:space="preserve">  Other Current Assets</t>
  </si>
  <si>
    <t>TOTAL ASSETS</t>
  </si>
  <si>
    <t>LIABILITIES &amp; EQUITY</t>
  </si>
  <si>
    <t xml:space="preserve">  Long-Term Debt</t>
  </si>
  <si>
    <t xml:space="preserve">  Trade Payables</t>
  </si>
  <si>
    <t xml:space="preserve">  Other Liabilities</t>
  </si>
  <si>
    <t xml:space="preserve">  Total Equity</t>
  </si>
  <si>
    <t>TOTAL L &amp; E</t>
  </si>
  <si>
    <t>KEY FINANCIAL RATIOS</t>
  </si>
  <si>
    <t>Ratio</t>
  </si>
  <si>
    <t>Revenue Growth YoY</t>
  </si>
  <si>
    <t>-</t>
  </si>
  <si>
    <t>EBITDA Margin</t>
  </si>
  <si>
    <t>Debt/Equity Ratio</t>
  </si>
  <si>
    <t>Interest Coverage</t>
  </si>
  <si>
    <t>Return on Equity</t>
  </si>
  <si>
    <t>CONFIDENTIAL  |  Project Lumina  |  FinOrbits IB Championship S1</t>
  </si>
  <si>
    <t>VALUES &amp; BASIS OF ASSUMPTION  —  PROJECT LUMINA  |  AURA Consumer Sciences Ltd</t>
  </si>
  <si>
    <t>Complete this sheet before submitting your model. Every blue assumption in PROJECTIONS and DCF VALUATION must have a documented value (col D) and written justification (col E). Graders will evaluate this sheet independently.</t>
  </si>
  <si>
    <t>Assumption</t>
  </si>
  <si>
    <t>Your Value  (Blue = Input)</t>
  </si>
  <si>
    <t>Basis of Assumption — Write Clearly (This is Graded)</t>
  </si>
  <si>
    <t>SECTION 1 — INCOME STATEMENT ASSUMPTIONS (PROJECTIONS sheet)</t>
  </si>
  <si>
    <t>Revenue Growth Rate %</t>
  </si>
  <si>
    <t>Gross Margin %</t>
  </si>
  <si>
    <t>EBITDA Margin %</t>
  </si>
  <si>
    <t>D&amp;A as % of Revenue</t>
  </si>
  <si>
    <t>Tax Rate %</t>
  </si>
  <si>
    <t>Capex as % of Revenue</t>
  </si>
  <si>
    <t>SECTION 2 — WORKING CAPITAL ASSUMPTIONS (PROJECTIONS sheet)</t>
  </si>
  <si>
    <t>Debtor Days (Receivables)</t>
  </si>
  <si>
    <t>Creditor Days (Payables)</t>
  </si>
  <si>
    <t>Inventory Days</t>
  </si>
  <si>
    <t>SECTION 3 — INTEREST EXPENSE (PROJECTIONS sheet)</t>
  </si>
  <si>
    <t>Interest Expense FY2025E onward</t>
  </si>
  <si>
    <t>SECTION 4 — WACC ASSUMPTIONS (DCF VALUATION sheet)</t>
  </si>
  <si>
    <t>Risk-Free Rate (Rf)</t>
  </si>
  <si>
    <t>Equity Risk Premium (ERP)</t>
  </si>
  <si>
    <t>Beta (Levered)</t>
  </si>
  <si>
    <t>Cost of Debt (pre-tax Kd)</t>
  </si>
  <si>
    <t>Debt Weight D/V</t>
  </si>
  <si>
    <t>SECTION 5 — TERMINAL VALUE (DCF VALUATION sheet)</t>
  </si>
  <si>
    <t>Terminal Growth Rate (g)</t>
  </si>
  <si>
    <t>SECTION 6 — EV-TO-EQUITY BRIDGE (DCF VALUATION sheet)</t>
  </si>
  <si>
    <t>Net Debt</t>
  </si>
  <si>
    <t>Shares Outstanding</t>
  </si>
  <si>
    <t>SECTION 7 — COMPARABLES: APPLIED MULTIPLES (COMPARABLES sheet)</t>
  </si>
  <si>
    <t>Peer Company Selection Rationale</t>
  </si>
  <si>
    <t>EV/Revenue Multiple Applied</t>
  </si>
  <si>
    <t>EV/EBITDA Multiple Applied</t>
  </si>
  <si>
    <t>P/E Multiple Applied</t>
  </si>
  <si>
    <t>CONFIDENTIAL  |  Project Lumina  |  FinOrbits IB Simulation Season 1  |  finorbits.com</t>
  </si>
  <si>
    <t>PROJECTIONS  —  FY2025E  |  FY2026E  |  FY2027E  |  FY2028E  |  FY2029E</t>
  </si>
  <si>
    <t>Enter assumptions in BLUE cells only. Every assumption must be justified in your Investment Memo. All projection years (FY2025E–FY2029E) are fully analyst-driven — no figures are pre-given. Refer to the CIM Analyst Guidance for reference points.</t>
  </si>
  <si>
    <t>SECTION 1 — KEY ASSUMPTIONS  (Blue = your inputs)</t>
  </si>
  <si>
    <t>FY2025E</t>
  </si>
  <si>
    <t>FY2026E</t>
  </si>
  <si>
    <t>FY2027E</t>
  </si>
  <si>
    <t>FY2028E</t>
  </si>
  <si>
    <t>FY2029E</t>
  </si>
  <si>
    <t>Basis of assumption</t>
  </si>
  <si>
    <t>Debtor Days</t>
  </si>
  <si>
    <t>Creditor Days</t>
  </si>
  <si>
    <t>SECTION 2 — PROJECTED INCOME STATEMENT  (₹ Crore)</t>
  </si>
  <si>
    <t xml:space="preserve">  Tax</t>
  </si>
  <si>
    <t>SECTION 3 — WORKING CAPITAL SCHEDULE  (₹ Crore)</t>
  </si>
  <si>
    <t>Inventories  =  Revenue × Inventory Days / 365</t>
  </si>
  <si>
    <t>Formula: = Revenue x Inv Days / 365</t>
  </si>
  <si>
    <t>Trade Receivables  =  Revenue × Debtor Days / 365</t>
  </si>
  <si>
    <t>Formula: = Revenue x Debtor Days / 365</t>
  </si>
  <si>
    <t>Trade Payables  =  COGS × Creditor Days / 365</t>
  </si>
  <si>
    <t>Formula: = ABS(COGS) x Creditor Days / 365</t>
  </si>
  <si>
    <t>Net Working Capital  =  Inventories + Receivables − Payables</t>
  </si>
  <si>
    <t>Inventories + Receivables minus Payables</t>
  </si>
  <si>
    <t>Change in WC  =  Net WC(t) − Net WC(t−1)   ← link this row to DCF</t>
  </si>
  <si>
    <t>—</t>
  </si>
  <si>
    <t>Positive delta WC = cash outflow. Deduct in FCF.</t>
  </si>
  <si>
    <t>SECTION 4 — INTEREST EXPENSE ASSUMPTION</t>
  </si>
  <si>
    <t>Crore</t>
  </si>
  <si>
    <t>Interest Expense</t>
  </si>
  <si>
    <t>DCF VALUATION  —  DISCOUNTED CASH FLOW ANALYSIS</t>
  </si>
  <si>
    <t>SECTION 1 — WACC CALCULATION</t>
  </si>
  <si>
    <t>Component</t>
  </si>
  <si>
    <t>Value</t>
  </si>
  <si>
    <t>Notes</t>
  </si>
  <si>
    <t>Risk-Free Rate (10-yr G-Sec)</t>
  </si>
  <si>
    <t>Cost of Equity (CAPM)</t>
  </si>
  <si>
    <t xml:space="preserve"> = Rf + Beta x ERP. Auto-calculated.</t>
  </si>
  <si>
    <t>Cost of Debt (pre-tax)</t>
  </si>
  <si>
    <t>Tax Rate</t>
  </si>
  <si>
    <t>After-tax Cost of Debt</t>
  </si>
  <si>
    <t xml:space="preserve"> = Kd x (1-t). Auto-calculated.</t>
  </si>
  <si>
    <t>Debt Weight (D/V)</t>
  </si>
  <si>
    <t>Market value of debt / (Debt+Equity). Use FY24 BS.</t>
  </si>
  <si>
    <t>Equity Weight (E/V)</t>
  </si>
  <si>
    <t>WACC</t>
  </si>
  <si>
    <t xml:space="preserve"> = Ke x (E/V) + Kd(1-t) x (D/V). Your discount rate.</t>
  </si>
  <si>
    <t>SECTION 2 — FREE CASH FLOW (FCFF)  |  FY2025E-FY2029E</t>
  </si>
  <si>
    <t>EBIT (from your Projections tab)</t>
  </si>
  <si>
    <t>(-) Tax on EBIT  =  EBIT x Tax Rate</t>
  </si>
  <si>
    <t>NOPAT  =  EBIT x (1 - Tax Rate)</t>
  </si>
  <si>
    <t>(+) D&amp;A  (add back)</t>
  </si>
  <si>
    <t>(-) Capex  (cash outflow)</t>
  </si>
  <si>
    <t>(-) Change in Working Capital</t>
  </si>
  <si>
    <t>FREE CASH FLOW TO FIRM (FCFF)</t>
  </si>
  <si>
    <t>PV Factor  =  1 / (1+WACC)^n</t>
  </si>
  <si>
    <t>Present Value of FCF</t>
  </si>
  <si>
    <t>GUIDANCE: Link EBIT and D&amp;A from your PROJECTIONS Income Statement. Capex = Revenue × Capex%. Change in Working Capital from your PROJECTIONS Working Capital Schedule. Note: FCF uses FCFF method — interest expense is excluded from the FCF build (it sits in the IS only).</t>
  </si>
  <si>
    <t>SECTION 3 — TERMINAL VALUE</t>
  </si>
  <si>
    <t>Item</t>
  </si>
  <si>
    <t>India nominal long-run GDP growth. Typically 5-7%. Must be &lt; WACC.</t>
  </si>
  <si>
    <t>Terminal Year FCFF (FY2029E)</t>
  </si>
  <si>
    <t>Link from FCF row above (FCFF FY2029E).</t>
  </si>
  <si>
    <t>Terminal Value  =  FCFF x (1+g) / (WACC-g)</t>
  </si>
  <si>
    <t>Gordon Growth Model: TV = Terminal FCFF × (1+g) / (WACC - g). Use your WACC and terminal growth inputs above.</t>
  </si>
  <si>
    <t>Discount Factor (Year 5)</t>
  </si>
  <si>
    <t xml:space="preserve"> = 1/(1+WACC)^5</t>
  </si>
  <si>
    <t>PV of Terminal Value</t>
  </si>
  <si>
    <t>Terminal Value × Discount Factor. Should be ~60-75% of total EV.</t>
  </si>
  <si>
    <t>SECTION 4 — EV TO EQUITY VALUE BRIDGE</t>
  </si>
  <si>
    <t>Sum of PV of FCFs (Years 1-5)</t>
  </si>
  <si>
    <t>Sum of PV FCF from Section 2 above</t>
  </si>
  <si>
    <t>(+) PV of Terminal Value</t>
  </si>
  <si>
    <t>Link from the PV of Terminal Value you calculated in Section 3 above.</t>
  </si>
  <si>
    <t>Enterprise Value (EV)</t>
  </si>
  <si>
    <t xml:space="preserve"> = Sum of above two rows</t>
  </si>
  <si>
    <t>(-) Net Debt</t>
  </si>
  <si>
    <t>Derive from FY2024 Balance Sheet (Long-Term Debt minus Cash). Then adjust for ₹30 Cr debt repayment from IPO proceeds (see Transaction Summary). Show clearly whether you are using pre-IPO or post-IPO net debt, and justify.</t>
  </si>
  <si>
    <t>Equity Value</t>
  </si>
  <si>
    <t xml:space="preserve"> = EV minus Net Debt</t>
  </si>
  <si>
    <t>Shares Outstanding (crore)</t>
  </si>
  <si>
    <t>Pre-filled. Do not change.</t>
  </si>
  <si>
    <t>Intrinsic Value Per Share (₹)</t>
  </si>
  <si>
    <t xml:space="preserve"> = Equity Value / Shares Outstanding</t>
  </si>
  <si>
    <t>Implied Price Band — Low (₹)</t>
  </si>
  <si>
    <t xml:space="preserve"> = Intrinsic Value x 0.9 (10% downside)</t>
  </si>
  <si>
    <t>Implied Price Band — High (₹)</t>
  </si>
  <si>
    <t xml:space="preserve"> = Intrinsic Value x 1.1 (10% upside)</t>
  </si>
  <si>
    <t>SECTION 5 — SENSITIVITY TABLE  (Implied Share Price ₹ per share)</t>
  </si>
  <si>
    <t>HOW TO USE: Vary WACC and terminal growth rate manually. Each time, record the implied share price. Green = above base case. Red = below. This table shows how sensitive your valuation is to key assumptions.</t>
  </si>
  <si>
    <t>TRADING COMPARABLES  —  PEER GROUP ANALYSIS</t>
  </si>
  <si>
    <t>Company (Research &amp; Enter Your Own Peers)</t>
  </si>
  <si>
    <t>Mkt Cap (₹cr)</t>
  </si>
  <si>
    <t>EV (₹cr)</t>
  </si>
  <si>
    <t>Revenue (₹cr)</t>
  </si>
  <si>
    <t>EBITDA (₹cr)</t>
  </si>
  <si>
    <t>EV/Revenue</t>
  </si>
  <si>
    <t>EV/EBITDA</t>
  </si>
  <si>
    <t>P/E</t>
  </si>
  <si>
    <t>Rev Growth %</t>
  </si>
  <si>
    <t>PEER STATISTICS  —  Auto-calculated once you enter peer data above  (Median = base case | Lower Q = bear | Upper Q = bull)</t>
  </si>
  <si>
    <t>Metric</t>
  </si>
  <si>
    <t>Peer Median</t>
  </si>
  <si>
    <t>Peer Mean</t>
  </si>
  <si>
    <t>Lower Quartile</t>
  </si>
  <si>
    <t>Upper Quartile</t>
  </si>
  <si>
    <t>Revenue Growth</t>
  </si>
  <si>
    <t>Peer Selection Rationale (explain why each company is a relevant comparable for AURA — sector, growth profile, business model similarity)</t>
  </si>
  <si>
    <t>AURA IMPLIED VALUATION  —  Enter your projected figures (blue cells)</t>
  </si>
  <si>
    <t>AURA Metric</t>
  </si>
  <si>
    <t>Your Value</t>
  </si>
  <si>
    <t>Implied EV at Peer Median Mult</t>
  </si>
  <si>
    <t>Implied Equity Value</t>
  </si>
  <si>
    <t>Per Share (₹)</t>
  </si>
  <si>
    <t>AURA FY2025E Revenue (₹cr)</t>
  </si>
  <si>
    <t>AURA FY2025E EBITDA (₹cr)</t>
  </si>
  <si>
    <t>AURA FY2025E PAT (₹cr)</t>
  </si>
  <si>
    <t>Net Debt (₹cr)</t>
  </si>
  <si>
    <t>Derive from FY2024 Balance Sheet: Long-Term Debt (42) minus Cash &amp; Equivalents (28) = 14 (pre-IPO). Post-IPO: Rs. 30 Cr of fresh issue proceeds repay debt, so Long-Term Debt falls to 12 and Net Debt = 12 − 28 = −16 (net cash). State clearly whether you are using pre-IPO or post-IPO net debt and justify your choice.</t>
  </si>
  <si>
    <t>Shares Outstanding (cr)</t>
  </si>
  <si>
    <t>AURA IMPLIED SHARE PRICE  —  Apply peer multiples to AURA projected financials</t>
  </si>
  <si>
    <t>Method</t>
  </si>
  <si>
    <t>Applied Multiple</t>
  </si>
  <si>
    <t>Implied EV (₹cr)</t>
  </si>
  <si>
    <t>(-) Net Debt (₹cr)</t>
  </si>
  <si>
    <t>Equity Value (₹cr)</t>
  </si>
  <si>
    <t>Shares (cr)</t>
  </si>
  <si>
    <t>Implied Price (₹/share)</t>
  </si>
  <si>
    <t>Notes / Approach</t>
  </si>
  <si>
    <t>EV / Revenue</t>
  </si>
  <si>
    <t>EV = AURA Revenue × Applied Multiple. Equity Value = EV − Net Debt. Implied Price = Equity Value ÷ Shares Outstanding.</t>
  </si>
  <si>
    <t>EV / EBITDA</t>
  </si>
  <si>
    <t>EV = AURA EBITDA × Applied Multiple. Equity Value = EV − Net Debt. Implied Price = Equity Value ÷ Shares Outstanding.</t>
  </si>
  <si>
    <t>P / E</t>
  </si>
  <si>
    <t>N/A</t>
  </si>
  <si>
    <t>P/E method: Equity Value = AURA PAT × Applied Multiple. No EV bridge needed. Implied Price = Equity Value ÷ Shares Outstanding.</t>
  </si>
  <si>
    <t>ANALYST COMMENTARY — Premium or Discount to Peers?</t>
  </si>
  <si>
    <t>VALUATION SUMMARY  —  PROJECT LUMINA  |  FINAL RECOMMENDATION</t>
  </si>
  <si>
    <t>SECTION 1 — VALUATION OUTPUT SUMMARY</t>
  </si>
  <si>
    <t>Methodology</t>
  </si>
  <si>
    <t>Low (₹/share)</t>
  </si>
  <si>
    <t>Base Case (₹/share)</t>
  </si>
  <si>
    <t>High (₹/share)</t>
  </si>
  <si>
    <t>Weight %</t>
  </si>
  <si>
    <t>Weighted Value</t>
  </si>
  <si>
    <t>DCF Valuation</t>
  </si>
  <si>
    <t>Link from DCF tab, Section 4</t>
  </si>
  <si>
    <t>EV/EBITDA Comps</t>
  </si>
  <si>
    <t>From Comparables — EBITDA-based</t>
  </si>
  <si>
    <t>P/E Comps</t>
  </si>
  <si>
    <t>From Comparables — P/E based</t>
  </si>
  <si>
    <t>WEIGHTED AVERAGE</t>
  </si>
  <si>
    <t xml:space="preserve"> = Sum of (Base x Weight) each method</t>
  </si>
  <si>
    <t>SECTION 2 — FINAL RECOMMENDATION</t>
  </si>
  <si>
    <t>IPO Price Band Recommendation (₹/share)</t>
  </si>
  <si>
    <t>Recommendation</t>
  </si>
  <si>
    <t>Upside / Downside to Mid-Band</t>
  </si>
  <si>
    <t>Primary Valuation Method Used</t>
  </si>
  <si>
    <t>Key Assumption Driving Valuation</t>
  </si>
  <si>
    <t>One Key Risk to Your Thesis</t>
  </si>
  <si>
    <t>SECTION 3 — FOOTBALL FIELD CHART</t>
  </si>
  <si>
    <t>INSERT YOUR FOOTBALL FIELD CHART HERE
How to build it:
1. Create a horizontal bar chart (Insert &gt; Bar Chart &gt; Stacked Bar)
2. X-axis = Share price in ₹. Y-axis = 3 methodologies (DCF, EV/EBITDA, P/E)
3. Each bar shows the range from Low to High for that methodology
4. Add a vertical line or separate series for your recommended price band
5. Color: #4AACFF (blue) for your recommended band. Grey for others.
This is the visual centerpiece of your submission deck.</t>
  </si>
  <si>
    <t xml:space="preserve"> Other Income</t>
  </si>
  <si>
    <t>Projected using a growth-dacay model; starting at the 2-year historical average (41%) and Decay factor 10% to reflect market saturation and increased competition.</t>
  </si>
  <si>
    <t>Projected to expand by 150 basis points annually due to economies of scale in procurement and improved production efficiency as volume scales.</t>
  </si>
  <si>
    <t>Projected to expand by 150 basis points annually</t>
  </si>
  <si>
    <t>Projected using a growth-dacay model</t>
  </si>
  <si>
    <t>Projected to expand by  1.5% due to operating leverage; as revenue scales, fixed indirect costs are spread across a larger base , improving overall profitability.</t>
  </si>
  <si>
    <t>Projected to expand by  1.5% due to operating leverage</t>
  </si>
  <si>
    <t>D&amp;A is assumed at ~1.2% of revenue in line with historical trends , reflecting a relatively asse-light business model with capex growing proportionally with revenue.</t>
  </si>
  <si>
    <t>D&amp;A is assumed at ~1.2% of revenue in line with historical trends</t>
  </si>
  <si>
    <t>Maintained at a constant 25%, reflecting the prevailing statutory corporate tax rate for domestic companies in India. The forecast assumes no major legislative changes or eligibility for new tax holidays during the projection period.</t>
  </si>
  <si>
    <t>Maintained at a constant 25%</t>
  </si>
  <si>
    <t xml:space="preserve">Other income </t>
  </si>
  <si>
    <t>Capex as a % of revenue is projected to follow a declining trend from 9% to 5.5%, following the historical trajectory ( which decreased from 15.8% to 11.4%). This reflects a transition from an aggressive initial infrastructure build out phase to a steady state maintainance and replacement cycle as the business matures.</t>
  </si>
  <si>
    <t>Capex as a % of revenue is projected to follow a declining trend from 9% to 5.5%</t>
  </si>
  <si>
    <t>Interest Expense is projected to follow a declining trend  ( by 0.05% from previous year's expense ) as a percentage of revenue, reflecting the company's improved credit profile and the strategic allocation of Rs.30 cr from the IPO fresh issue proceeds to repay existing long term debt, as specified in the transaction summary.</t>
  </si>
  <si>
    <t>36 Days</t>
  </si>
  <si>
    <t>75 Days</t>
  </si>
  <si>
    <t>50 Days</t>
  </si>
  <si>
    <t>Maintained at a 36 Days as per CIM guidance, reflecting the high percentage of D2C and quick-commerce revenue (68%) which typically involves shorter collection cycles than traditional trade.</t>
  </si>
  <si>
    <t>Held constant at the derived historical level of 75 days, assuming the company maintains its established credit terms with third party contract manufactures as it scales.</t>
  </si>
  <si>
    <t>Projected at 50 days in line with CIM risk disclosures, reflecting the balance between managing perishable cold pressed juices (3-5 day shelf life) and maintaining safety stock for non perishable supplements.</t>
  </si>
  <si>
    <t>Maintained at a 36 Days as per CIM guidance</t>
  </si>
  <si>
    <t>Held constant at the derived historical level of 75 days</t>
  </si>
  <si>
    <t>Projected at 50 days in line with CIM risk disclosures</t>
  </si>
  <si>
    <t>9%/8%/7%/6.3/5.5</t>
  </si>
  <si>
    <t>Source: RBI/ NSE India 10 year government Bond Yield is hovering around 6.89% - 6.91%. As of mid april 2026</t>
  </si>
  <si>
    <t>As of January 2026, the estimated Equity Risk Premium in India is recommended at approximately 7.0%, with a suggested range between 6.5% and  7.5%, according to Incwert's 2026 India ERP study.</t>
  </si>
  <si>
    <t>Peer Unlevered beta: Honasa 0.34, Tata Consumer 0.36, Marico 0.15, Emami 0.12, Bikaji 0.23 (5 years monthly), Peer Median  unlevered Beta = 0.22, Re-levered at Aura's post-IPO target Capital structure. Aura Levered Beta = Median unlevered beta *[1+(1-Tax Rate )*(D/E)], Aura levered beta = 0.22*[1+(0.75*0.008)] = 0.23 Adjusted upward to 0.75 for AURA growth risk premium (</t>
  </si>
  <si>
    <t>Pre-tax cost of debt is estimated at 7.6%, derived from the FY2024 historical interest expense and long term debt balance.</t>
  </si>
  <si>
    <t>Post IPO Equity = ₹ 860 Cr , pre- IPO ₹660 Cr based on peer multiple and ₹66/ share mid point. Fresh issue ₹200 Cr. The D/V ratio is based on the target post IPO capital structure. Whilethe D/V is 1.38% , a 10% weight is assumed for WACC calcualation.</t>
  </si>
  <si>
    <t>Terminal Growth Rate is set at 5.0%. This is consistent with the long run sustainable growth expectation for the Indian D2C wellness and nutrition sector. It remains conservatively below india's projected nominal GDP growth rate.</t>
  </si>
  <si>
    <t>Honasa Consumer Ltd</t>
  </si>
  <si>
    <t>Emami Ltd</t>
  </si>
  <si>
    <t>Marico Ltd</t>
  </si>
  <si>
    <t>Bikaji l Ltd</t>
  </si>
  <si>
    <t>Tata Consumers</t>
  </si>
  <si>
    <t>₹ 11,235 </t>
  </si>
  <si>
    <t>₹ 19,734 </t>
  </si>
  <si>
    <t>₹ 1,10,158</t>
  </si>
  <si>
    <t>₹ 98,309</t>
  </si>
  <si>
    <t>₹ 16,550</t>
  </si>
  <si>
    <t>Derive from FY2024 Balance Sheet: Long-Term Debt (42) minus Cash &amp; Equivalents (28) = 14 (pre-IPO). Post-IPO: Rs. 30 Cr of fresh issue proceeds repay debt, so Long-Term Debt falls to 12 and Net Debt = 12 − 28 = -16</t>
  </si>
  <si>
    <t>Pre-filled per CIM Transaction Summary: 10 Crore pre-IPO shares outstanding. Fresh issue will create additional dilution — post-IPO shares depend on IPO price. At ₹66 mid-band price: Fresh issue ₹200 Cr / ₹66 = 3.03 Cr new shares. Total post-IPO = 13.03 Cr. This model uses pre-IPO 10 Cr shares per template instruction.</t>
  </si>
  <si>
    <t>10 Cr ( Pre-IPO)</t>
  </si>
  <si>
    <t>1. Honasa (Mamaearth): Closest D2C brand analog — listed FY24, premium D2C consumer brand, high-growth, digital-first. Direct structural comparator for AURA.
2. Marico: India FMCG premium health/wellness (Saffola, Parachute). Similar consumer segment — health-conscious urban. Provides EBITDA/multiple benchmark at scale.
3. Emami: Ayurvedic wellness &amp; personal care. Premium Indian consumer health brand with strong margins. Comparable on product positioning and consumer archetype.
4. Bikaji Foods: Premium branded packaged food (snacks). Revenue scale comparable to AURA near-term projection range. Similar quick-commerce distribution overlap.
5. Tata Consumer Products: Large-cap FMCG health &amp; wellness (Tata Sampann, Himalayan). Provides upper-bound multiple reference. Adjusted down for AURA scale gap.
Data source: NSE/BSE market data, company annual reports FY2025. All figures in INR Crore.</t>
  </si>
  <si>
    <t>Honasa Consumer (Mamaearth) | Marico Ltd | Emami Ltd | Bikaji Foods | Tata Consumer Products</t>
  </si>
  <si>
    <t>5.0x</t>
  </si>
  <si>
    <t xml:space="preserve">The applied EV/Revenue multiple of 5x is based on the premium assigned to high growth, digital first D2C brands in India. </t>
  </si>
  <si>
    <t>40x</t>
  </si>
  <si>
    <t>An EV/EBITDA multiple of 40x is utilised as the primary valuation benchmark. This aligns with the peer median for listed FMCG and personal care leaders ( eg. Tata consumer , Marico ) who exhibit similar operational stability.</t>
  </si>
  <si>
    <t>52x</t>
  </si>
  <si>
    <t>The Price to Earnings(P/E) multiple of 52x reflects the market's willingness to pay a premium for consistent earnings growth in the wellness sector. This assumption is consistent with the long term historical trading averages of diversified consumer goods companies in India.</t>
  </si>
  <si>
    <t>1. Premium vs. Discount to Peers:
AURA can command a moderate premium over traditional FMCG players due to its digital-first model and strong 60% gross margins. However, it should trade at a slight discount to large high-growth companies like Tata Consumer Products because of its smaller scale and early-stage profitability.
2. Justification of Multiples:
EV/Revenue (5.0x): Reflects strong growth potential in the D2C wellness segment.
EV/EBITDA (40.0x): Slightly conservative to account for execution risk and smaller scale.
P/E (52.0x): Supports high earnings quality and strong cash flow generation. Based on the triangulation of our DCF (₹84.5) and our Relative Valuation (₹149 - ₹172), AURA is fundamentally undervalued at the anticipated IPO offer price of ₹66. The "Margin of Safety" is substantial, and we recommend a STRONG BUY as the stock is positioned for significant re-rating post-listing.</t>
  </si>
  <si>
    <t>Low: 119  |  High: 146</t>
  </si>
  <si>
    <t xml:space="preserve">SUBSCRIBE  </t>
  </si>
  <si>
    <t>28% upside basedon DCF / Negligible downside because of strong Floor</t>
  </si>
  <si>
    <t>50% DCF  / 50% EV/EBITDA  /  Blended , we use DCF for long term intrinsic value and EV/EBITDA to capture the current market premium</t>
  </si>
  <si>
    <t>Sustainable EBITDA margin expansion &amp; Revenue CAGR of 19%+</t>
  </si>
  <si>
    <t>Execution Risk in highly competitive D2C wellness space + inventory days inconsistency (balance sheet 90d vs stated 50d)</t>
  </si>
  <si>
    <t>Muneer Ahmad</t>
  </si>
  <si>
    <t xml:space="preserve">Aligarh Muslim University Malappuram Centre </t>
  </si>
  <si>
    <t>DCF</t>
  </si>
  <si>
    <t>LOW</t>
  </si>
  <si>
    <t>HIGH</t>
  </si>
  <si>
    <t>22/04/2026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</si>
</sst>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0.0;\(#,##0.0\);\-"/>
    <numFmt numFmtId="165" formatCode="0.0%;\(0.0%\);\-"/>
    <numFmt numFmtId="166" formatCode="0.00\x;\(0.00&quot;x)&quot;;\-"/>
    <numFmt numFmtId="167" formatCode="0.0\x;\(0.0&quot;x)&quot;;\-"/>
    <numFmt numFmtId="168" formatCode="0.0%"/>
    <numFmt numFmtId="169" formatCode="#,##0.0"/>
    <numFmt numFmtId="170" formatCode="0.000"/>
    <numFmt numFmtId="171" formatCode="0.0\x"/>
    <numFmt numFmtId="172" formatCode="#,##0;\(#,##0\);\-"/>
    <numFmt numFmtId="173" formatCode="#,##0.0_);\(#,##0.0\)"/>
    <numFmt numFmtId="174" formatCode="#,##0.00;\(#,##0.00\);\-"/>
    <numFmt numFmtId="175" formatCode="0.0"/>
    <numFmt numFmtId="176" formatCode="[$₹-439]#,##0.00"/>
  </numFmts>
  <fonts count="80" x14ac:knownFonts="1">
    <font>
      <sz val="11"/>
      <color theme="1"/>
      <name val="Calibri"/>
      <family val="2"/>
      <charset val="1"/>
    </font>
    <font>
      <b/>
      <sz val="30"/>
      <color rgb="FF4AACFF"/>
      <name val="Arial"/>
      <family val="2"/>
    </font>
    <font>
      <b/>
      <sz val="11"/>
      <color rgb="FFB0C4D8"/>
      <name val="Arial"/>
      <family val="2"/>
    </font>
    <font>
      <b/>
      <sz val="9"/>
      <color rgb="FF94A3B8"/>
      <name val="Arial"/>
      <family val="2"/>
    </font>
    <font>
      <b/>
      <sz val="10"/>
      <color rgb="FF1A2332"/>
      <name val="Arial"/>
      <family val="2"/>
    </font>
    <font>
      <sz val="10"/>
      <color rgb="FF1D4ED8"/>
      <name val="Calibri"/>
      <family val="2"/>
      <charset val="1"/>
    </font>
    <font>
      <b/>
      <sz val="10"/>
      <color rgb="FFFFFFFF"/>
      <name val="Calibri"/>
      <family val="2"/>
      <charset val="1"/>
    </font>
    <font>
      <b/>
      <sz val="10"/>
      <color rgb="FF0000FF"/>
      <name val="Arial"/>
      <family val="2"/>
    </font>
    <font>
      <sz val="10"/>
      <color rgb="FF6B7280"/>
      <name val="Arial"/>
      <family val="2"/>
    </font>
    <font>
      <b/>
      <sz val="10"/>
      <color rgb="FF008000"/>
      <name val="Arial"/>
      <family val="2"/>
    </font>
    <font>
      <sz val="10"/>
      <color rgb="FF1A2332"/>
      <name val="Arial"/>
      <family val="2"/>
    </font>
    <font>
      <b/>
      <i/>
      <sz val="9"/>
      <color rgb="FF92400E"/>
      <name val="Arial"/>
      <family val="2"/>
    </font>
    <font>
      <i/>
      <sz val="8"/>
      <color rgb="FF8B9DB5"/>
      <name val="Calibri"/>
      <family val="2"/>
      <charset val="1"/>
    </font>
    <font>
      <b/>
      <sz val="14"/>
      <color rgb="FF4AACFF"/>
      <name val="Arial"/>
      <family val="2"/>
    </font>
    <font>
      <b/>
      <i/>
      <sz val="9"/>
      <color rgb="FFFFFFFF"/>
      <name val="Arial"/>
      <family val="2"/>
    </font>
    <font>
      <b/>
      <sz val="11"/>
      <color rgb="FFFFFFFF"/>
      <name val="Arial"/>
      <family val="2"/>
    </font>
    <font>
      <b/>
      <sz val="10"/>
      <color rgb="FFFFFFFF"/>
      <name val="Arial"/>
      <family val="2"/>
    </font>
    <font>
      <b/>
      <sz val="10"/>
      <color rgb="FF1A2332"/>
      <name val="Arial"/>
      <family val="2"/>
      <charset val="1"/>
    </font>
    <font>
      <b/>
      <sz val="10"/>
      <color rgb="FF0000FF"/>
      <name val="Arial"/>
      <family val="2"/>
      <charset val="1"/>
    </font>
    <font>
      <sz val="10"/>
      <color rgb="FF1A2332"/>
      <name val="Arial"/>
      <family val="2"/>
      <charset val="1"/>
    </font>
    <font>
      <sz val="10"/>
      <color rgb="FF0000FF"/>
      <name val="Arial"/>
      <family val="2"/>
      <charset val="1"/>
    </font>
    <font>
      <i/>
      <sz val="9"/>
      <color rgb="FF6B7280"/>
      <name val="Arial"/>
      <family val="2"/>
      <charset val="1"/>
    </font>
    <font>
      <i/>
      <sz val="9"/>
      <color rgb="FF6B7280"/>
      <name val="Arial"/>
      <family val="2"/>
    </font>
    <font>
      <sz val="10"/>
      <color rgb="FF0000FF"/>
      <name val="Arial"/>
      <family val="2"/>
    </font>
    <font>
      <sz val="10"/>
      <color theme="1"/>
      <name val="Arial"/>
      <family val="2"/>
    </font>
    <font>
      <b/>
      <sz val="10"/>
      <color rgb="FF1E3A5F"/>
      <name val="Arial"/>
      <family val="2"/>
      <charset val="1"/>
    </font>
    <font>
      <b/>
      <sz val="11"/>
      <color rgb="FFFFFFFF"/>
      <name val="Calibri"/>
      <family val="2"/>
      <charset val="1"/>
    </font>
    <font>
      <b/>
      <sz val="11"/>
      <color theme="1"/>
      <name val="Calibri"/>
      <family val="2"/>
      <charset val="1"/>
    </font>
    <font>
      <i/>
      <sz val="8"/>
      <color rgb="FF8B9DB5"/>
      <name val="Arial"/>
      <family val="2"/>
    </font>
    <font>
      <b/>
      <sz val="14"/>
      <color rgb="FFFFFFFF"/>
      <name val="Arial"/>
      <family val="2"/>
      <charset val="1"/>
    </font>
    <font>
      <i/>
      <sz val="9"/>
      <color rgb="FF1A2332"/>
      <name val="Calibri"/>
      <family val="2"/>
      <charset val="1"/>
    </font>
    <font>
      <b/>
      <sz val="10"/>
      <color rgb="FFFFFFFF"/>
      <name val="Arial"/>
      <family val="2"/>
      <charset val="1"/>
    </font>
    <font>
      <sz val="10"/>
      <color rgb="FF0000FF"/>
      <name val="Calibri"/>
      <family val="2"/>
      <charset val="1"/>
    </font>
    <font>
      <sz val="9"/>
      <color rgb="FF0000FF"/>
      <name val="Calibri"/>
      <family val="2"/>
      <charset val="1"/>
    </font>
    <font>
      <sz val="8"/>
      <color rgb="FF6B7280"/>
      <name val="Calibri"/>
      <family val="2"/>
      <charset val="1"/>
    </font>
    <font>
      <b/>
      <sz val="14"/>
      <color theme="0"/>
      <name val="Arial"/>
      <family val="2"/>
      <charset val="1"/>
    </font>
    <font>
      <b/>
      <sz val="14"/>
      <color rgb="FF4AACFF"/>
      <name val="Calibri"/>
      <family val="2"/>
      <charset val="1"/>
    </font>
    <font>
      <sz val="10"/>
      <color rgb="FF1D4ED8"/>
      <name val="Arial"/>
      <family val="2"/>
    </font>
    <font>
      <i/>
      <sz val="9"/>
      <color rgb="FF1D4ED8"/>
      <name val="Calibri"/>
      <family val="2"/>
      <charset val="1"/>
    </font>
    <font>
      <b/>
      <sz val="9"/>
      <color rgb="FFFFFFFF"/>
      <name val="Arial"/>
      <family val="2"/>
      <charset val="1"/>
    </font>
    <font>
      <b/>
      <sz val="10"/>
      <color rgb="FF04080F"/>
      <name val="Arial"/>
      <family val="2"/>
    </font>
    <font>
      <b/>
      <sz val="11"/>
      <color rgb="FF0000FF"/>
      <name val="Calibri"/>
      <family val="2"/>
      <charset val="1"/>
    </font>
    <font>
      <i/>
      <sz val="9"/>
      <color rgb="FF6B7280"/>
      <name val="Calibri"/>
      <family val="2"/>
      <charset val="1"/>
    </font>
    <font>
      <b/>
      <sz val="10"/>
      <color rgb="FF000000"/>
      <name val="Arial"/>
      <family val="2"/>
    </font>
    <font>
      <sz val="10"/>
      <color rgb="FF000000"/>
      <name val="Arial"/>
      <family val="2"/>
    </font>
    <font>
      <sz val="10"/>
      <color rgb="FF1A2332"/>
      <name val="Calibri"/>
      <family val="2"/>
      <charset val="1"/>
    </font>
    <font>
      <sz val="10"/>
      <color theme="1"/>
      <name val="Calibri"/>
      <family val="2"/>
      <charset val="1"/>
    </font>
    <font>
      <i/>
      <sz val="9"/>
      <color rgb="FF9CA3AF"/>
      <name val="Calibri"/>
      <family val="2"/>
      <charset val="1"/>
    </font>
    <font>
      <b/>
      <sz val="10"/>
      <color rgb="FF04080F"/>
      <name val="Calibri"/>
      <family val="2"/>
      <charset val="1"/>
    </font>
    <font>
      <b/>
      <sz val="11"/>
      <color rgb="FF04080F"/>
      <name val="Calibri"/>
      <family val="2"/>
      <charset val="1"/>
    </font>
    <font>
      <b/>
      <sz val="10"/>
      <color rgb="FF065F46"/>
      <name val="Arial"/>
      <family val="2"/>
    </font>
    <font>
      <b/>
      <i/>
      <sz val="9"/>
      <color rgb="FF6B7280"/>
      <name val="Arial"/>
      <family val="2"/>
    </font>
    <font>
      <sz val="10"/>
      <color rgb="FF065F46"/>
      <name val="Arial"/>
      <family val="2"/>
    </font>
    <font>
      <b/>
      <sz val="10"/>
      <color rgb="FF1E40AF"/>
      <name val="Arial"/>
      <family val="2"/>
    </font>
    <font>
      <i/>
      <sz val="9"/>
      <color rgb="FF374151"/>
      <name val="Arial"/>
      <family val="2"/>
    </font>
    <font>
      <b/>
      <sz val="10"/>
      <color rgb="FF92400E"/>
      <name val="Arial"/>
      <family val="2"/>
    </font>
    <font>
      <b/>
      <sz val="11"/>
      <color rgb="FF065F46"/>
      <name val="Calibri"/>
      <family val="2"/>
      <charset val="1"/>
    </font>
    <font>
      <sz val="11"/>
      <color rgb="FF1A2332"/>
      <name val="Calibri"/>
      <family val="2"/>
      <charset val="1"/>
    </font>
    <font>
      <b/>
      <sz val="9"/>
      <color rgb="FF0000FF"/>
      <name val="Arial"/>
      <family val="2"/>
    </font>
    <font>
      <sz val="11"/>
      <color rgb="FF0000FF"/>
      <name val="Calibri"/>
      <family val="2"/>
      <charset val="1"/>
    </font>
    <font>
      <sz val="9"/>
      <color rgb="FF6B7280"/>
      <name val="Arial"/>
      <family val="2"/>
    </font>
    <font>
      <b/>
      <i/>
      <sz val="10"/>
      <color rgb="FFFFFFFF"/>
      <name val="Arial"/>
      <family val="2"/>
    </font>
    <font>
      <i/>
      <sz val="9"/>
      <color rgb="FF8B9DB5"/>
      <name val="Arial"/>
      <family val="2"/>
    </font>
    <font>
      <i/>
      <sz val="10"/>
      <color rgb="FF8B9DB5"/>
      <name val="Calibri"/>
      <family val="2"/>
      <charset val="1"/>
    </font>
    <font>
      <i/>
      <sz val="10"/>
      <color rgb="FF374151"/>
      <name val="Arial"/>
      <family val="2"/>
    </font>
    <font>
      <b/>
      <sz val="11"/>
      <color rgb="FF1E40AF"/>
      <name val="Arial"/>
      <family val="2"/>
    </font>
    <font>
      <b/>
      <sz val="11"/>
      <color rgb="FF1E40AF"/>
      <name val="Calibri"/>
      <family val="2"/>
      <charset val="1"/>
    </font>
    <font>
      <b/>
      <sz val="12"/>
      <color rgb="FF0000FF"/>
      <name val="Arial"/>
      <family val="2"/>
    </font>
    <font>
      <sz val="11"/>
      <color theme="1"/>
      <name val="Calibri"/>
      <family val="2"/>
      <charset val="1"/>
    </font>
    <font>
      <b/>
      <sz val="10"/>
      <color theme="1"/>
      <name val="Arial"/>
      <family val="2"/>
    </font>
    <font>
      <sz val="11"/>
      <color theme="1"/>
      <name val="Calibri"/>
      <family val="2"/>
    </font>
    <font>
      <sz val="10"/>
      <color rgb="FF04080F"/>
      <name val="Arial"/>
      <family val="2"/>
    </font>
    <font>
      <b/>
      <sz val="10"/>
      <name val="Arial"/>
      <family val="2"/>
      <charset val="1"/>
    </font>
    <font>
      <b/>
      <sz val="10"/>
      <color rgb="FF3ADA3E"/>
      <name val="Arial"/>
      <family val="2"/>
    </font>
    <font>
      <b/>
      <sz val="10"/>
      <color rgb="FF00B050"/>
      <name val="Arial"/>
      <family val="2"/>
    </font>
    <font>
      <b/>
      <sz val="10"/>
      <color theme="3" tint="-0.249977111117893"/>
      <name val="Arial"/>
      <family val="2"/>
    </font>
    <font>
      <b/>
      <sz val="12"/>
      <color theme="1"/>
      <name val="Arial"/>
      <family val="2"/>
    </font>
    <font>
      <b/>
      <sz val="12"/>
      <color rgb="FF0033CC"/>
      <name val="Arial"/>
      <family val="2"/>
    </font>
    <font>
      <b/>
      <sz val="9"/>
      <color theme="1"/>
      <name val="Arial"/>
      <family val="2"/>
    </font>
    <font>
      <b/>
      <sz val="11"/>
      <color theme="1"/>
      <name val="Arial"/>
      <family val="2"/>
    </font>
  </fonts>
  <fills count="23">
    <fill>
      <patternFill patternType="none"/>
    </fill>
    <fill>
      <patternFill patternType="gray125"/>
    </fill>
    <fill>
      <patternFill patternType="solid">
        <fgColor rgb="FF0F2744"/>
        <bgColor rgb="FF1A2332"/>
      </patternFill>
    </fill>
    <fill>
      <patternFill patternType="solid">
        <fgColor rgb="FFFFFFFF"/>
        <bgColor rgb="FFF9FAFB"/>
      </patternFill>
    </fill>
    <fill>
      <patternFill patternType="solid">
        <fgColor rgb="FFF7FAFD"/>
        <bgColor rgb="FFF9FAFB"/>
      </patternFill>
    </fill>
    <fill>
      <patternFill patternType="solid">
        <fgColor rgb="FFEFF6FF"/>
        <bgColor rgb="FFF0F4F8"/>
      </patternFill>
    </fill>
    <fill>
      <patternFill patternType="solid">
        <fgColor rgb="FF1E3A5F"/>
        <bgColor rgb="FF1A3A5C"/>
      </patternFill>
    </fill>
    <fill>
      <patternFill patternType="solid">
        <fgColor rgb="FFFFFBEB"/>
        <bgColor rgb="FFF9FAFB"/>
      </patternFill>
    </fill>
    <fill>
      <patternFill patternType="solid">
        <fgColor rgb="FFB91C1C"/>
        <bgColor rgb="FF92400E"/>
      </patternFill>
    </fill>
    <fill>
      <patternFill patternType="solid">
        <fgColor rgb="FF2E5082"/>
        <bgColor rgb="FF374151"/>
      </patternFill>
    </fill>
    <fill>
      <patternFill patternType="solid">
        <fgColor rgb="FFF0F4F8"/>
        <bgColor rgb="FFF3F4F6"/>
      </patternFill>
    </fill>
    <fill>
      <patternFill patternType="solid">
        <fgColor rgb="FFE8EDF4"/>
        <bgColor rgb="FFF0F4F8"/>
      </patternFill>
    </fill>
    <fill>
      <patternFill patternType="solid">
        <fgColor rgb="FF1A3A5C"/>
        <bgColor rgb="FF1E3A5F"/>
      </patternFill>
    </fill>
    <fill>
      <patternFill patternType="solid">
        <fgColor rgb="FFF9FAFB"/>
        <bgColor rgb="FFF7FAFD"/>
      </patternFill>
    </fill>
    <fill>
      <patternFill patternType="solid">
        <fgColor rgb="FFD1FAE5"/>
        <bgColor rgb="FFDBEAFE"/>
      </patternFill>
    </fill>
    <fill>
      <patternFill patternType="solid">
        <fgColor rgb="FFDBEAFE"/>
        <bgColor rgb="FFE8EDF4"/>
      </patternFill>
    </fill>
    <fill>
      <patternFill patternType="solid">
        <fgColor rgb="FFFEF3C7"/>
        <bgColor rgb="FFFFFBEB"/>
      </patternFill>
    </fill>
    <fill>
      <patternFill patternType="solid">
        <fgColor rgb="FFF3F4F6"/>
        <bgColor rgb="FFF0F4F8"/>
      </patternFill>
    </fill>
    <fill>
      <patternFill patternType="solid">
        <fgColor theme="0"/>
        <bgColor rgb="FF374151"/>
      </patternFill>
    </fill>
    <fill>
      <patternFill patternType="solid">
        <fgColor theme="0"/>
        <bgColor indexed="64"/>
      </patternFill>
    </fill>
    <fill>
      <patternFill patternType="solid">
        <fgColor theme="0"/>
        <bgColor rgb="FFF3F4F6"/>
      </patternFill>
    </fill>
    <fill>
      <patternFill patternType="solid">
        <fgColor theme="4" tint="0.79998168889431442"/>
        <bgColor indexed="64"/>
      </patternFill>
    </fill>
    <fill>
      <patternFill patternType="solid">
        <fgColor theme="4" tint="0.79998168889431442"/>
        <bgColor rgb="FFF3F4F6"/>
      </patternFill>
    </fill>
  </fills>
  <borders count="49">
    <border>
      <left/>
      <right/>
      <top/>
      <bottom/>
      <diagonal/>
    </border>
    <border>
      <left style="thin">
        <color rgb="FFCBD5E1"/>
      </left>
      <right/>
      <top/>
      <bottom style="thin">
        <color rgb="FF4AACFF"/>
      </bottom>
      <diagonal/>
    </border>
    <border>
      <left/>
      <right/>
      <top/>
      <bottom style="thin">
        <color rgb="FF4AACFF"/>
      </bottom>
      <diagonal/>
    </border>
    <border>
      <left style="thin">
        <color rgb="FFCBD5E1"/>
      </left>
      <right style="thin">
        <color rgb="FFCBD5E1"/>
      </right>
      <top style="thin">
        <color rgb="FFCBD5E1"/>
      </top>
      <bottom/>
      <diagonal/>
    </border>
    <border>
      <left style="thin">
        <color rgb="FFCBD5E1"/>
      </left>
      <right/>
      <top/>
      <bottom/>
      <diagonal/>
    </border>
    <border>
      <left/>
      <right style="thin">
        <color rgb="FFCBD5E1"/>
      </right>
      <top/>
      <bottom/>
      <diagonal/>
    </border>
    <border>
      <left style="thin">
        <color rgb="FFCBD5E1"/>
      </left>
      <right/>
      <top/>
      <bottom style="thin">
        <color rgb="FFCBD5E1"/>
      </bottom>
      <diagonal/>
    </border>
    <border>
      <left/>
      <right/>
      <top/>
      <bottom style="thin">
        <color rgb="FFCBD5E1"/>
      </bottom>
      <diagonal/>
    </border>
    <border>
      <left/>
      <right style="thin">
        <color rgb="FFCBD5E1"/>
      </right>
      <top/>
      <bottom style="thin">
        <color rgb="FFCBD5E1"/>
      </bottom>
      <diagonal/>
    </border>
    <border>
      <left style="thin">
        <color rgb="FFCBD5E1"/>
      </left>
      <right style="thin">
        <color rgb="FFCBD5E1"/>
      </right>
      <top/>
      <bottom/>
      <diagonal/>
    </border>
    <border>
      <left style="thin">
        <color rgb="FFCBD5E1"/>
      </left>
      <right style="thin">
        <color rgb="FFCBD5E1"/>
      </right>
      <top/>
      <bottom style="thin">
        <color rgb="FFCBD5E1"/>
      </bottom>
      <diagonal/>
    </border>
    <border>
      <left style="thin">
        <color rgb="FFD1D5DB"/>
      </left>
      <right style="thin">
        <color rgb="FFD1D5DB"/>
      </right>
      <top style="thin">
        <color rgb="FF2E5082"/>
      </top>
      <bottom style="thin">
        <color rgb="FFD1D5DB"/>
      </bottom>
      <diagonal/>
    </border>
    <border>
      <left style="thin">
        <color rgb="FFD1D5DB"/>
      </left>
      <right style="thin">
        <color rgb="FFD1D5DB"/>
      </right>
      <top style="thin">
        <color rgb="FFD1D5DB"/>
      </top>
      <bottom style="thin">
        <color rgb="FFD1D5DB"/>
      </bottom>
      <diagonal/>
    </border>
    <border>
      <left style="thin">
        <color auto="1"/>
      </left>
      <right style="thin">
        <color auto="1"/>
      </right>
      <top style="thin">
        <color auto="1"/>
      </top>
      <bottom style="thin">
        <color auto="1"/>
      </bottom>
      <diagonal/>
    </border>
    <border>
      <left style="thin">
        <color rgb="FFD1D5DB"/>
      </left>
      <right style="thin">
        <color rgb="FFD1D5DB"/>
      </right>
      <top style="thin">
        <color rgb="FFD1D5DB"/>
      </top>
      <bottom style="thick">
        <color rgb="FFD1D5DB"/>
      </bottom>
      <diagonal/>
    </border>
    <border>
      <left style="thin">
        <color rgb="FFD1D5DB"/>
      </left>
      <right style="thin">
        <color rgb="FFD1D5DB"/>
      </right>
      <top style="thin">
        <color rgb="FFD1D5DB"/>
      </top>
      <bottom style="double">
        <color rgb="FF2E5082"/>
      </bottom>
      <diagonal/>
    </border>
    <border>
      <left style="thin">
        <color rgb="FFD1D5DB"/>
      </left>
      <right style="thin">
        <color rgb="FFD1D5DB"/>
      </right>
      <top/>
      <bottom style="thin">
        <color auto="1"/>
      </bottom>
      <diagonal/>
    </border>
    <border>
      <left style="thin">
        <color rgb="FF2E5082"/>
      </left>
      <right style="thin">
        <color rgb="FFD1D5DB"/>
      </right>
      <top style="thin">
        <color rgb="FF2E5082"/>
      </top>
      <bottom style="thin">
        <color rgb="FFD1D5DB"/>
      </bottom>
      <diagonal/>
    </border>
    <border>
      <left style="thin">
        <color rgb="FFD1D5DB"/>
      </left>
      <right style="thin">
        <color rgb="FF2E5082"/>
      </right>
      <top style="thin">
        <color rgb="FF2E5082"/>
      </top>
      <bottom style="thin">
        <color rgb="FFD1D5DB"/>
      </bottom>
      <diagonal/>
    </border>
    <border>
      <left style="thin">
        <color rgb="FF2E5082"/>
      </left>
      <right style="thin">
        <color rgb="FFD1D5DB"/>
      </right>
      <top style="thin">
        <color rgb="FFD1D5DB"/>
      </top>
      <bottom style="thin">
        <color rgb="FFD1D5DB"/>
      </bottom>
      <diagonal/>
    </border>
    <border>
      <left style="thin">
        <color rgb="FFD1D5DB"/>
      </left>
      <right style="thin">
        <color rgb="FF2E5082"/>
      </right>
      <top style="thin">
        <color rgb="FFD1D5DB"/>
      </top>
      <bottom style="thin">
        <color rgb="FFD1D5DB"/>
      </bottom>
      <diagonal/>
    </border>
    <border>
      <left style="thin">
        <color rgb="FFD1D5DB"/>
      </left>
      <right style="thin">
        <color rgb="FFD1D5DB"/>
      </right>
      <top style="thin">
        <color rgb="FFD1D5DB"/>
      </top>
      <bottom style="thin">
        <color rgb="FF0000FF"/>
      </bottom>
      <diagonal/>
    </border>
    <border>
      <left/>
      <right/>
      <top style="thin">
        <color rgb="FFD1D5DB"/>
      </top>
      <bottom style="thin">
        <color rgb="FF0000FF"/>
      </bottom>
      <diagonal/>
    </border>
    <border>
      <left style="thin">
        <color rgb="FFD1D5DB"/>
      </left>
      <right style="thin">
        <color rgb="FFD1D5DB"/>
      </right>
      <top/>
      <bottom style="thin">
        <color rgb="FFD1D5DB"/>
      </bottom>
      <diagonal/>
    </border>
    <border>
      <left style="thin">
        <color rgb="FFD1D5DB"/>
      </left>
      <right style="thin">
        <color rgb="FF2E5082"/>
      </right>
      <top/>
      <bottom style="thin">
        <color rgb="FFD1D5DB"/>
      </bottom>
      <diagonal/>
    </border>
    <border>
      <left style="thin">
        <color rgb="FF2E5082"/>
      </left>
      <right style="thin">
        <color rgb="FFD1D5DB"/>
      </right>
      <top style="thin">
        <color rgb="FFD1D5DB"/>
      </top>
      <bottom style="thin">
        <color rgb="FF2E5082"/>
      </bottom>
      <diagonal/>
    </border>
    <border>
      <left style="thin">
        <color rgb="FFD1D5DB"/>
      </left>
      <right style="thin">
        <color rgb="FFD1D5DB"/>
      </right>
      <top style="thin">
        <color rgb="FFD1D5DB"/>
      </top>
      <bottom style="thin">
        <color rgb="FF2E5082"/>
      </bottom>
      <diagonal/>
    </border>
    <border>
      <left style="thin">
        <color rgb="FFD1D5DB"/>
      </left>
      <right style="thin">
        <color rgb="FF2E5082"/>
      </right>
      <top style="thin">
        <color rgb="FFD1D5DB"/>
      </top>
      <bottom style="thin">
        <color rgb="FF2E5082"/>
      </bottom>
      <diagonal/>
    </border>
    <border>
      <left style="thin">
        <color auto="1"/>
      </left>
      <right style="thin">
        <color rgb="FFD1D5DB"/>
      </right>
      <top style="thin">
        <color auto="1"/>
      </top>
      <bottom style="thin">
        <color rgb="FFD1D5DB"/>
      </bottom>
      <diagonal/>
    </border>
    <border>
      <left style="thin">
        <color rgb="FFD1D5DB"/>
      </left>
      <right style="thin">
        <color rgb="FFD1D5DB"/>
      </right>
      <top style="thin">
        <color auto="1"/>
      </top>
      <bottom style="thin">
        <color rgb="FFD1D5DB"/>
      </bottom>
      <diagonal/>
    </border>
    <border>
      <left style="thin">
        <color rgb="FFD1D5DB"/>
      </left>
      <right style="thin">
        <color auto="1"/>
      </right>
      <top style="thin">
        <color auto="1"/>
      </top>
      <bottom style="thin">
        <color rgb="FFD1D5DB"/>
      </bottom>
      <diagonal/>
    </border>
    <border>
      <left style="thin">
        <color auto="1"/>
      </left>
      <right style="thin">
        <color rgb="FFD1D5DB"/>
      </right>
      <top style="thin">
        <color rgb="FFD1D5DB"/>
      </top>
      <bottom style="thin">
        <color rgb="FFD1D5DB"/>
      </bottom>
      <diagonal/>
    </border>
    <border>
      <left style="thin">
        <color rgb="FFD1D5DB"/>
      </left>
      <right style="thin">
        <color auto="1"/>
      </right>
      <top style="thin">
        <color rgb="FFD1D5DB"/>
      </top>
      <bottom style="thin">
        <color rgb="FFD1D5DB"/>
      </bottom>
      <diagonal/>
    </border>
    <border>
      <left style="thin">
        <color auto="1"/>
      </left>
      <right style="thin">
        <color rgb="FFD1D5DB"/>
      </right>
      <top style="thin">
        <color rgb="FFD1D5DB"/>
      </top>
      <bottom style="thin">
        <color auto="1"/>
      </bottom>
      <diagonal/>
    </border>
    <border>
      <left style="thin">
        <color rgb="FFD1D5DB"/>
      </left>
      <right style="thin">
        <color rgb="FFD1D5DB"/>
      </right>
      <top style="thin">
        <color rgb="FFD1D5DB"/>
      </top>
      <bottom style="thin">
        <color auto="1"/>
      </bottom>
      <diagonal/>
    </border>
    <border>
      <left style="thin">
        <color rgb="FFD1D5DB"/>
      </left>
      <right style="thin">
        <color auto="1"/>
      </right>
      <top style="thin">
        <color rgb="FFD1D5DB"/>
      </top>
      <bottom style="thin">
        <color auto="1"/>
      </bottom>
      <diagonal/>
    </border>
    <border>
      <left style="thin">
        <color rgb="FFD1D5DB"/>
      </left>
      <right/>
      <top style="thin">
        <color rgb="FFD1D5DB"/>
      </top>
      <bottom style="thin">
        <color rgb="FFD1D5DB"/>
      </bottom>
      <diagonal/>
    </border>
    <border>
      <left/>
      <right/>
      <top style="thin">
        <color rgb="FFD1D5DB"/>
      </top>
      <bottom style="thin">
        <color auto="1"/>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right style="thin">
        <color rgb="FFD1D5DB"/>
      </right>
      <top/>
      <bottom style="thin">
        <color rgb="FFD1D5DB"/>
      </bottom>
      <diagonal/>
    </border>
    <border>
      <left/>
      <right/>
      <top/>
      <bottom style="thin">
        <color auto="1"/>
      </bottom>
      <diagonal/>
    </border>
    <border>
      <left/>
      <right/>
      <top/>
      <bottom style="thin">
        <color rgb="FFD1D5DB"/>
      </bottom>
      <diagonal/>
    </border>
    <border>
      <left style="dashed">
        <color rgb="FF9CA3AF"/>
      </left>
      <right style="dashed">
        <color rgb="FF9CA3AF"/>
      </right>
      <top style="dashed">
        <color rgb="FF9CA3AF"/>
      </top>
      <bottom style="dashed">
        <color rgb="FF9CA3AF"/>
      </bottom>
      <diagonal/>
    </border>
    <border>
      <left style="thin">
        <color rgb="FFD1D5DB"/>
      </left>
      <right/>
      <top style="thin">
        <color rgb="FF2E5082"/>
      </top>
      <bottom style="thin">
        <color rgb="FFD1D5DB"/>
      </bottom>
      <diagonal/>
    </border>
    <border>
      <left style="thin">
        <color indexed="64"/>
      </left>
      <right/>
      <top/>
      <bottom/>
      <diagonal/>
    </border>
    <border>
      <left/>
      <right style="thin">
        <color indexed="64"/>
      </right>
      <top style="thin">
        <color rgb="FFD1D5DB"/>
      </top>
      <bottom/>
      <diagonal/>
    </border>
    <border>
      <left/>
      <right style="thin">
        <color indexed="64"/>
      </right>
      <top/>
      <bottom/>
      <diagonal/>
    </border>
    <border>
      <left/>
      <right style="thin">
        <color indexed="64"/>
      </right>
      <top/>
      <bottom style="thin">
        <color rgb="FFD1D5DB"/>
      </bottom>
      <diagonal/>
    </border>
  </borders>
  <cellStyleXfs count="2">
    <xf numFmtId="0" fontId="0" fillId="0" borderId="0"/>
    <xf numFmtId="9" fontId="68" fillId="0" borderId="0" applyFont="0" applyFill="0" applyBorder="0" applyAlignment="0" applyProtection="0"/>
  </cellStyleXfs>
  <cellXfs count="313">
    <xf numFmtId="0" fontId="0" fillId="0" borderId="0" xfId="0"/>
    <xf numFmtId="0" fontId="0" fillId="2" borderId="0" xfId="0" applyFill="1"/>
    <xf numFmtId="0" fontId="4" fillId="4" borderId="0" xfId="0" applyFont="1" applyFill="1" applyAlignment="1">
      <alignment horizontal="left" vertical="center"/>
    </xf>
    <xf numFmtId="0" fontId="0" fillId="4" borderId="0" xfId="0" applyFill="1"/>
    <xf numFmtId="0" fontId="5" fillId="5" borderId="1" xfId="0" applyFont="1" applyFill="1" applyBorder="1" applyAlignment="1">
      <alignment vertical="center"/>
    </xf>
    <xf numFmtId="0" fontId="5" fillId="5" borderId="2" xfId="0" applyFont="1" applyFill="1" applyBorder="1" applyAlignment="1">
      <alignment vertical="center"/>
    </xf>
    <xf numFmtId="0" fontId="0" fillId="3" borderId="0" xfId="0" applyFill="1"/>
    <xf numFmtId="0" fontId="7" fillId="3" borderId="4" xfId="0" applyFont="1" applyFill="1" applyBorder="1"/>
    <xf numFmtId="0" fontId="4" fillId="4" borderId="4" xfId="0" applyFont="1" applyFill="1" applyBorder="1"/>
    <xf numFmtId="0" fontId="9" fillId="3" borderId="4" xfId="0" applyFont="1" applyFill="1" applyBorder="1"/>
    <xf numFmtId="0" fontId="4" fillId="4" borderId="6" xfId="0" applyFont="1" applyFill="1" applyBorder="1"/>
    <xf numFmtId="0" fontId="0" fillId="4" borderId="7" xfId="0" applyFill="1" applyBorder="1"/>
    <xf numFmtId="0" fontId="12" fillId="2" borderId="0" xfId="0" applyFont="1" applyFill="1" applyAlignment="1">
      <alignment horizontal="center"/>
    </xf>
    <xf numFmtId="0" fontId="16" fillId="9" borderId="11" xfId="0" applyFont="1" applyFill="1" applyBorder="1" applyAlignment="1">
      <alignment horizontal="center" vertical="center" wrapText="1"/>
    </xf>
    <xf numFmtId="0" fontId="17" fillId="3" borderId="12" xfId="0" applyFont="1" applyFill="1" applyBorder="1" applyAlignment="1">
      <alignment horizontal="left" vertical="center"/>
    </xf>
    <xf numFmtId="164" fontId="18" fillId="3" borderId="12" xfId="0" applyNumberFormat="1" applyFont="1" applyFill="1" applyBorder="1" applyAlignment="1">
      <alignment horizontal="right" vertical="center"/>
    </xf>
    <xf numFmtId="0" fontId="19" fillId="10" borderId="12" xfId="0" applyFont="1" applyFill="1" applyBorder="1" applyAlignment="1">
      <alignment horizontal="left" vertical="center" indent="1"/>
    </xf>
    <xf numFmtId="164" fontId="20" fillId="10" borderId="12" xfId="0" applyNumberFormat="1" applyFont="1" applyFill="1" applyBorder="1" applyAlignment="1">
      <alignment horizontal="right" vertical="center"/>
    </xf>
    <xf numFmtId="164" fontId="17" fillId="3" borderId="12" xfId="0" applyNumberFormat="1" applyFont="1" applyFill="1" applyBorder="1" applyAlignment="1">
      <alignment horizontal="right" vertical="center"/>
    </xf>
    <xf numFmtId="0" fontId="21" fillId="10" borderId="12" xfId="0" applyFont="1" applyFill="1" applyBorder="1" applyAlignment="1">
      <alignment horizontal="left" vertical="center" indent="1"/>
    </xf>
    <xf numFmtId="165" fontId="21" fillId="10" borderId="12" xfId="0" applyNumberFormat="1" applyFont="1" applyFill="1" applyBorder="1" applyAlignment="1">
      <alignment horizontal="center" vertical="center" wrapText="1"/>
    </xf>
    <xf numFmtId="0" fontId="4" fillId="10" borderId="13" xfId="0" applyFont="1" applyFill="1" applyBorder="1" applyAlignment="1">
      <alignment horizontal="left" vertical="center"/>
    </xf>
    <xf numFmtId="164" fontId="7" fillId="10" borderId="13" xfId="0" applyNumberFormat="1" applyFont="1" applyFill="1" applyBorder="1" applyAlignment="1">
      <alignment horizontal="right" vertical="center"/>
    </xf>
    <xf numFmtId="0" fontId="10" fillId="3" borderId="13" xfId="0" applyFont="1" applyFill="1" applyBorder="1" applyAlignment="1">
      <alignment horizontal="left" vertical="center"/>
    </xf>
    <xf numFmtId="164" fontId="23" fillId="3" borderId="13" xfId="0" applyNumberFormat="1" applyFont="1" applyFill="1" applyBorder="1" applyAlignment="1">
      <alignment horizontal="right" vertical="center"/>
    </xf>
    <xf numFmtId="0" fontId="17" fillId="10" borderId="12" xfId="0" applyFont="1" applyFill="1" applyBorder="1" applyAlignment="1">
      <alignment horizontal="left" vertical="center"/>
    </xf>
    <xf numFmtId="164" fontId="18" fillId="10" borderId="12" xfId="0" applyNumberFormat="1" applyFont="1" applyFill="1" applyBorder="1" applyAlignment="1">
      <alignment horizontal="right" vertical="center"/>
    </xf>
    <xf numFmtId="0" fontId="19" fillId="3" borderId="12" xfId="0" applyFont="1" applyFill="1" applyBorder="1" applyAlignment="1">
      <alignment horizontal="left" vertical="center" indent="1"/>
    </xf>
    <xf numFmtId="164" fontId="20" fillId="3" borderId="12" xfId="0" applyNumberFormat="1" applyFont="1" applyFill="1" applyBorder="1" applyAlignment="1">
      <alignment horizontal="right" vertical="center"/>
    </xf>
    <xf numFmtId="0" fontId="21" fillId="3" borderId="12" xfId="0" applyFont="1" applyFill="1" applyBorder="1" applyAlignment="1">
      <alignment horizontal="left" vertical="center" indent="1"/>
    </xf>
    <xf numFmtId="165" fontId="21" fillId="3" borderId="12" xfId="0" applyNumberFormat="1" applyFont="1" applyFill="1" applyBorder="1" applyAlignment="1">
      <alignment horizontal="center" vertical="center" wrapText="1"/>
    </xf>
    <xf numFmtId="0" fontId="16" fillId="3" borderId="0" xfId="0" applyFont="1" applyFill="1" applyAlignment="1">
      <alignment horizontal="center"/>
    </xf>
    <xf numFmtId="0" fontId="24" fillId="3" borderId="0" xfId="0" applyFont="1" applyFill="1"/>
    <xf numFmtId="0" fontId="25" fillId="11" borderId="12" xfId="0" applyFont="1" applyFill="1" applyBorder="1" applyAlignment="1">
      <alignment horizontal="left" vertical="center"/>
    </xf>
    <xf numFmtId="0" fontId="25" fillId="11" borderId="12" xfId="0" applyFont="1" applyFill="1" applyBorder="1" applyAlignment="1">
      <alignment horizontal="right" vertical="center"/>
    </xf>
    <xf numFmtId="0" fontId="17" fillId="10" borderId="12" xfId="0" applyFont="1" applyFill="1" applyBorder="1" applyAlignment="1">
      <alignment horizontal="left" vertical="center" indent="1"/>
    </xf>
    <xf numFmtId="164" fontId="17" fillId="10" borderId="12" xfId="0" applyNumberFormat="1" applyFont="1" applyFill="1" applyBorder="1" applyAlignment="1">
      <alignment horizontal="right" vertical="center"/>
    </xf>
    <xf numFmtId="0" fontId="17" fillId="3" borderId="14" xfId="0" applyFont="1" applyFill="1" applyBorder="1" applyAlignment="1">
      <alignment horizontal="left" vertical="center"/>
    </xf>
    <xf numFmtId="164" fontId="17" fillId="3" borderId="14" xfId="0" applyNumberFormat="1" applyFont="1" applyFill="1" applyBorder="1" applyAlignment="1">
      <alignment horizontal="right" vertical="center"/>
    </xf>
    <xf numFmtId="0" fontId="26" fillId="3" borderId="0" xfId="0" applyFont="1" applyFill="1"/>
    <xf numFmtId="0" fontId="6" fillId="3" borderId="0" xfId="0" applyFont="1" applyFill="1" applyAlignment="1">
      <alignment horizontal="center"/>
    </xf>
    <xf numFmtId="0" fontId="17" fillId="3" borderId="12" xfId="0" applyFont="1" applyFill="1" applyBorder="1" applyAlignment="1">
      <alignment horizontal="left" vertical="center" wrapText="1"/>
    </xf>
    <xf numFmtId="165" fontId="17" fillId="3" borderId="12" xfId="0" applyNumberFormat="1" applyFont="1" applyFill="1" applyBorder="1" applyAlignment="1">
      <alignment horizontal="center" vertical="center" wrapText="1"/>
    </xf>
    <xf numFmtId="0" fontId="17" fillId="10" borderId="12" xfId="0" applyFont="1" applyFill="1" applyBorder="1" applyAlignment="1">
      <alignment horizontal="left" vertical="center" wrapText="1"/>
    </xf>
    <xf numFmtId="165" fontId="17" fillId="10" borderId="12" xfId="0" applyNumberFormat="1" applyFont="1" applyFill="1" applyBorder="1" applyAlignment="1">
      <alignment horizontal="center" vertical="center" wrapText="1"/>
    </xf>
    <xf numFmtId="166" fontId="17" fillId="3" borderId="12" xfId="0" applyNumberFormat="1" applyFont="1" applyFill="1" applyBorder="1" applyAlignment="1">
      <alignment horizontal="center" vertical="center" wrapText="1"/>
    </xf>
    <xf numFmtId="167" fontId="17" fillId="10" borderId="12" xfId="0" applyNumberFormat="1" applyFont="1" applyFill="1" applyBorder="1" applyAlignment="1">
      <alignment horizontal="center" vertical="center" wrapText="1"/>
    </xf>
    <xf numFmtId="0" fontId="17" fillId="3" borderId="15" xfId="0" applyFont="1" applyFill="1" applyBorder="1" applyAlignment="1">
      <alignment horizontal="left" vertical="center" wrapText="1"/>
    </xf>
    <xf numFmtId="165" fontId="17" fillId="3" borderId="15" xfId="0" applyNumberFormat="1" applyFont="1" applyFill="1" applyBorder="1" applyAlignment="1">
      <alignment horizontal="center" vertical="center" wrapText="1"/>
    </xf>
    <xf numFmtId="0" fontId="27" fillId="10" borderId="16" xfId="0" applyFont="1" applyFill="1" applyBorder="1"/>
    <xf numFmtId="0" fontId="0" fillId="10" borderId="16" xfId="0" applyFill="1" applyBorder="1"/>
    <xf numFmtId="0" fontId="12" fillId="3" borderId="0" xfId="0" applyFont="1" applyFill="1" applyAlignment="1">
      <alignment horizontal="center"/>
    </xf>
    <xf numFmtId="0" fontId="6" fillId="9" borderId="17" xfId="0" applyFont="1" applyFill="1" applyBorder="1" applyAlignment="1">
      <alignment horizontal="left"/>
    </xf>
    <xf numFmtId="0" fontId="6" fillId="9" borderId="11" xfId="0" applyFont="1" applyFill="1" applyBorder="1" applyAlignment="1">
      <alignment horizontal="center"/>
    </xf>
    <xf numFmtId="0" fontId="6" fillId="9" borderId="18" xfId="0" applyFont="1" applyFill="1" applyBorder="1" applyAlignment="1">
      <alignment horizontal="center"/>
    </xf>
    <xf numFmtId="0" fontId="17" fillId="3" borderId="19" xfId="0" applyFont="1" applyFill="1" applyBorder="1" applyAlignment="1">
      <alignment wrapText="1"/>
    </xf>
    <xf numFmtId="0" fontId="32" fillId="5" borderId="12" xfId="0" applyFont="1" applyFill="1" applyBorder="1" applyAlignment="1">
      <alignment horizontal="center"/>
    </xf>
    <xf numFmtId="0" fontId="33" fillId="5" borderId="20" xfId="0" applyFont="1" applyFill="1" applyBorder="1" applyAlignment="1">
      <alignment wrapText="1"/>
    </xf>
    <xf numFmtId="0" fontId="17" fillId="10" borderId="19" xfId="0" applyFont="1" applyFill="1" applyBorder="1" applyAlignment="1">
      <alignment wrapText="1"/>
    </xf>
    <xf numFmtId="0" fontId="17" fillId="10" borderId="19" xfId="0" applyFont="1" applyFill="1" applyBorder="1" applyAlignment="1">
      <alignment horizontal="left" wrapText="1"/>
    </xf>
    <xf numFmtId="0" fontId="33" fillId="5" borderId="21" xfId="0" applyFont="1" applyFill="1" applyBorder="1" applyAlignment="1">
      <alignment horizontal="center" wrapText="1"/>
    </xf>
    <xf numFmtId="0" fontId="33" fillId="5" borderId="22" xfId="0" applyFont="1" applyFill="1" applyBorder="1" applyAlignment="1">
      <alignment wrapText="1"/>
    </xf>
    <xf numFmtId="0" fontId="32" fillId="5" borderId="23" xfId="0" applyFont="1" applyFill="1" applyBorder="1" applyAlignment="1">
      <alignment horizontal="center"/>
    </xf>
    <xf numFmtId="0" fontId="33" fillId="5" borderId="24" xfId="0" applyFont="1" applyFill="1" applyBorder="1" applyAlignment="1">
      <alignment wrapText="1"/>
    </xf>
    <xf numFmtId="0" fontId="0" fillId="0" borderId="25" xfId="0" applyBorder="1"/>
    <xf numFmtId="0" fontId="0" fillId="0" borderId="26" xfId="0" applyBorder="1"/>
    <xf numFmtId="0" fontId="0" fillId="0" borderId="27" xfId="0" applyBorder="1"/>
    <xf numFmtId="0" fontId="36" fillId="2" borderId="0" xfId="0" applyFont="1" applyFill="1" applyAlignment="1">
      <alignment horizontal="center"/>
    </xf>
    <xf numFmtId="0" fontId="38" fillId="5" borderId="0" xfId="0" applyFont="1" applyFill="1"/>
    <xf numFmtId="0" fontId="26" fillId="6" borderId="0" xfId="0" applyFont="1" applyFill="1"/>
    <xf numFmtId="0" fontId="16" fillId="9" borderId="12" xfId="0" applyFont="1" applyFill="1" applyBorder="1" applyAlignment="1">
      <alignment horizontal="center" vertical="center" wrapText="1"/>
    </xf>
    <xf numFmtId="0" fontId="39" fillId="6" borderId="12" xfId="0" applyFont="1" applyFill="1" applyBorder="1" applyAlignment="1">
      <alignment horizontal="center" vertical="center" wrapText="1"/>
    </xf>
    <xf numFmtId="0" fontId="6" fillId="12" borderId="0" xfId="0" applyFont="1" applyFill="1" applyAlignment="1">
      <alignment horizontal="center"/>
    </xf>
    <xf numFmtId="0" fontId="40" fillId="10" borderId="12" xfId="0" applyFont="1" applyFill="1" applyBorder="1" applyAlignment="1">
      <alignment horizontal="left" vertical="center" wrapText="1"/>
    </xf>
    <xf numFmtId="0" fontId="7" fillId="10" borderId="12" xfId="0" applyFont="1" applyFill="1" applyBorder="1" applyAlignment="1">
      <alignment horizontal="center" vertical="center" wrapText="1"/>
    </xf>
    <xf numFmtId="0" fontId="41" fillId="10" borderId="12" xfId="0" applyFont="1" applyFill="1" applyBorder="1" applyAlignment="1">
      <alignment horizontal="center"/>
    </xf>
    <xf numFmtId="0" fontId="42" fillId="10" borderId="12" xfId="0" applyFont="1" applyFill="1" applyBorder="1" applyAlignment="1">
      <alignment wrapText="1"/>
    </xf>
    <xf numFmtId="0" fontId="40" fillId="3" borderId="12" xfId="0" applyFont="1" applyFill="1" applyBorder="1" applyAlignment="1">
      <alignment horizontal="left" vertical="center" wrapText="1"/>
    </xf>
    <xf numFmtId="0" fontId="7" fillId="3" borderId="12" xfId="0" applyFont="1" applyFill="1" applyBorder="1" applyAlignment="1">
      <alignment horizontal="center" vertical="center" wrapText="1"/>
    </xf>
    <xf numFmtId="0" fontId="41" fillId="3" borderId="12" xfId="0" applyFont="1" applyFill="1" applyBorder="1" applyAlignment="1">
      <alignment horizontal="center"/>
    </xf>
    <xf numFmtId="0" fontId="42" fillId="3" borderId="12" xfId="0" applyFont="1" applyFill="1" applyBorder="1" applyAlignment="1">
      <alignment wrapText="1"/>
    </xf>
    <xf numFmtId="168" fontId="7" fillId="5" borderId="12" xfId="0" applyNumberFormat="1" applyFont="1" applyFill="1" applyBorder="1" applyAlignment="1">
      <alignment horizontal="center" vertical="center" wrapText="1"/>
    </xf>
    <xf numFmtId="0" fontId="40" fillId="3" borderId="12" xfId="0" applyFont="1" applyFill="1" applyBorder="1" applyAlignment="1">
      <alignment horizontal="left" vertical="center" indent="1"/>
    </xf>
    <xf numFmtId="164" fontId="4" fillId="3" borderId="12" xfId="0" applyNumberFormat="1" applyFont="1" applyFill="1" applyBorder="1" applyAlignment="1">
      <alignment horizontal="right" vertical="center"/>
    </xf>
    <xf numFmtId="164" fontId="43" fillId="3" borderId="12" xfId="0" applyNumberFormat="1" applyFont="1" applyFill="1" applyBorder="1" applyAlignment="1">
      <alignment horizontal="right" vertical="center"/>
    </xf>
    <xf numFmtId="0" fontId="10" fillId="10" borderId="12" xfId="0" applyFont="1" applyFill="1" applyBorder="1" applyAlignment="1">
      <alignment horizontal="left" vertical="center" indent="1"/>
    </xf>
    <xf numFmtId="164" fontId="10" fillId="10" borderId="12" xfId="0" applyNumberFormat="1" applyFont="1" applyFill="1" applyBorder="1" applyAlignment="1">
      <alignment horizontal="right" vertical="center"/>
    </xf>
    <xf numFmtId="164" fontId="44" fillId="10" borderId="12" xfId="0" applyNumberFormat="1" applyFont="1" applyFill="1" applyBorder="1" applyAlignment="1">
      <alignment horizontal="right" vertical="center"/>
    </xf>
    <xf numFmtId="168" fontId="10" fillId="10" borderId="12" xfId="0" applyNumberFormat="1" applyFont="1" applyFill="1" applyBorder="1" applyAlignment="1">
      <alignment horizontal="center" vertical="center" wrapText="1"/>
    </xf>
    <xf numFmtId="0" fontId="40" fillId="10" borderId="12" xfId="0" applyFont="1" applyFill="1" applyBorder="1" applyAlignment="1">
      <alignment horizontal="left" vertical="center"/>
    </xf>
    <xf numFmtId="164" fontId="4" fillId="10" borderId="12" xfId="0" applyNumberFormat="1" applyFont="1" applyFill="1" applyBorder="1" applyAlignment="1">
      <alignment horizontal="right" vertical="center"/>
    </xf>
    <xf numFmtId="164" fontId="43" fillId="10" borderId="12" xfId="0" applyNumberFormat="1" applyFont="1" applyFill="1" applyBorder="1" applyAlignment="1">
      <alignment horizontal="right" vertical="center"/>
    </xf>
    <xf numFmtId="0" fontId="10" fillId="3" borderId="12" xfId="0" applyFont="1" applyFill="1" applyBorder="1" applyAlignment="1">
      <alignment horizontal="left" vertical="center"/>
    </xf>
    <xf numFmtId="164" fontId="10" fillId="3" borderId="12" xfId="0" applyNumberFormat="1" applyFont="1" applyFill="1" applyBorder="1" applyAlignment="1">
      <alignment horizontal="right" vertical="center"/>
    </xf>
    <xf numFmtId="164" fontId="44" fillId="3" borderId="12" xfId="0" applyNumberFormat="1" applyFont="1" applyFill="1" applyBorder="1" applyAlignment="1">
      <alignment horizontal="right" vertical="center"/>
    </xf>
    <xf numFmtId="0" fontId="40" fillId="10" borderId="12" xfId="0" applyFont="1" applyFill="1" applyBorder="1" applyAlignment="1">
      <alignment horizontal="left" vertical="center" indent="1"/>
    </xf>
    <xf numFmtId="0" fontId="10" fillId="3" borderId="12" xfId="0" applyFont="1" applyFill="1" applyBorder="1" applyAlignment="1">
      <alignment horizontal="left" vertical="center" indent="1"/>
    </xf>
    <xf numFmtId="168" fontId="10" fillId="3" borderId="12" xfId="0" applyNumberFormat="1" applyFont="1" applyFill="1" applyBorder="1" applyAlignment="1">
      <alignment horizontal="center" vertical="center" wrapText="1"/>
    </xf>
    <xf numFmtId="0" fontId="6" fillId="9" borderId="28" xfId="0" applyFont="1" applyFill="1" applyBorder="1" applyAlignment="1">
      <alignment horizontal="center"/>
    </xf>
    <xf numFmtId="0" fontId="6" fillId="9" borderId="29" xfId="0" applyFont="1" applyFill="1" applyBorder="1" applyAlignment="1">
      <alignment horizontal="center"/>
    </xf>
    <xf numFmtId="0" fontId="6" fillId="9" borderId="30" xfId="0" applyFont="1" applyFill="1" applyBorder="1" applyAlignment="1">
      <alignment horizontal="center"/>
    </xf>
    <xf numFmtId="0" fontId="45" fillId="3" borderId="31" xfId="0" applyFont="1" applyFill="1" applyBorder="1"/>
    <xf numFmtId="164" fontId="46" fillId="3" borderId="12" xfId="0" applyNumberFormat="1" applyFont="1" applyFill="1" applyBorder="1" applyAlignment="1">
      <alignment horizontal="right"/>
    </xf>
    <xf numFmtId="0" fontId="47" fillId="13" borderId="0" xfId="0" applyFont="1" applyFill="1" applyAlignment="1">
      <alignment wrapText="1"/>
    </xf>
    <xf numFmtId="0" fontId="45" fillId="10" borderId="31" xfId="0" applyFont="1" applyFill="1" applyBorder="1"/>
    <xf numFmtId="164" fontId="46" fillId="10" borderId="12" xfId="0" applyNumberFormat="1" applyFont="1" applyFill="1" applyBorder="1" applyAlignment="1">
      <alignment horizontal="right"/>
    </xf>
    <xf numFmtId="0" fontId="48" fillId="10" borderId="31" xfId="0" applyFont="1" applyFill="1" applyBorder="1"/>
    <xf numFmtId="164" fontId="48" fillId="10" borderId="12" xfId="0" applyNumberFormat="1" applyFont="1" applyFill="1" applyBorder="1" applyAlignment="1">
      <alignment horizontal="right"/>
    </xf>
    <xf numFmtId="0" fontId="48" fillId="3" borderId="33" xfId="0" applyFont="1" applyFill="1" applyBorder="1"/>
    <xf numFmtId="0" fontId="49" fillId="3" borderId="34" xfId="0" applyFont="1" applyFill="1" applyBorder="1" applyAlignment="1">
      <alignment horizontal="center"/>
    </xf>
    <xf numFmtId="164" fontId="49" fillId="3" borderId="34" xfId="0" applyNumberFormat="1" applyFont="1" applyFill="1" applyBorder="1" applyAlignment="1">
      <alignment horizontal="right"/>
    </xf>
    <xf numFmtId="0" fontId="6" fillId="9" borderId="0" xfId="0" applyFont="1" applyFill="1" applyAlignment="1">
      <alignment horizontal="center"/>
    </xf>
    <xf numFmtId="0" fontId="45" fillId="10" borderId="0" xfId="0" applyFont="1" applyFill="1"/>
    <xf numFmtId="164" fontId="0" fillId="10" borderId="0" xfId="0" applyNumberFormat="1" applyFill="1" applyAlignment="1">
      <alignment horizontal="right"/>
    </xf>
    <xf numFmtId="0" fontId="41" fillId="10" borderId="0" xfId="0" applyFont="1" applyFill="1" applyAlignment="1">
      <alignment horizontal="right"/>
    </xf>
    <xf numFmtId="0" fontId="10" fillId="10" borderId="12" xfId="0" applyFont="1" applyFill="1" applyBorder="1" applyAlignment="1">
      <alignment horizontal="left" vertical="center" wrapText="1"/>
    </xf>
    <xf numFmtId="0" fontId="22" fillId="10" borderId="12" xfId="0" applyFont="1" applyFill="1" applyBorder="1" applyAlignment="1">
      <alignment horizontal="left" vertical="center" wrapText="1"/>
    </xf>
    <xf numFmtId="0" fontId="0" fillId="10" borderId="12" xfId="0" applyFill="1" applyBorder="1"/>
    <xf numFmtId="0" fontId="10" fillId="3" borderId="12" xfId="0" applyFont="1" applyFill="1" applyBorder="1" applyAlignment="1">
      <alignment horizontal="left" vertical="center" wrapText="1"/>
    </xf>
    <xf numFmtId="0" fontId="22" fillId="3" borderId="12" xfId="0" applyFont="1" applyFill="1" applyBorder="1" applyAlignment="1">
      <alignment horizontal="left" vertical="center" wrapText="1"/>
    </xf>
    <xf numFmtId="0" fontId="0" fillId="3" borderId="12" xfId="0" applyFill="1" applyBorder="1"/>
    <xf numFmtId="168" fontId="50" fillId="14" borderId="12" xfId="0" applyNumberFormat="1" applyFont="1" applyFill="1" applyBorder="1" applyAlignment="1">
      <alignment horizontal="center" vertical="center" wrapText="1"/>
    </xf>
    <xf numFmtId="0" fontId="51" fillId="3" borderId="12" xfId="0" applyFont="1" applyFill="1" applyBorder="1" applyAlignment="1">
      <alignment horizontal="left" vertical="center" wrapText="1"/>
    </xf>
    <xf numFmtId="0" fontId="27" fillId="3" borderId="12" xfId="0" applyFont="1" applyFill="1" applyBorder="1"/>
    <xf numFmtId="168" fontId="52" fillId="14" borderId="12" xfId="0" applyNumberFormat="1" applyFont="1" applyFill="1" applyBorder="1" applyAlignment="1">
      <alignment horizontal="center" vertical="center" wrapText="1"/>
    </xf>
    <xf numFmtId="164" fontId="4" fillId="3" borderId="12" xfId="0" applyNumberFormat="1" applyFont="1" applyFill="1" applyBorder="1" applyAlignment="1">
      <alignment horizontal="center" vertical="center" wrapText="1"/>
    </xf>
    <xf numFmtId="169" fontId="10" fillId="10" borderId="12" xfId="0" applyNumberFormat="1" applyFont="1" applyFill="1" applyBorder="1" applyAlignment="1">
      <alignment horizontal="center" vertical="center" wrapText="1"/>
    </xf>
    <xf numFmtId="169" fontId="4" fillId="3" borderId="12" xfId="0" applyNumberFormat="1" applyFont="1" applyFill="1" applyBorder="1" applyAlignment="1">
      <alignment horizontal="center" vertical="center" wrapText="1"/>
    </xf>
    <xf numFmtId="170" fontId="10" fillId="10" borderId="12" xfId="0" applyNumberFormat="1" applyFont="1" applyFill="1" applyBorder="1" applyAlignment="1">
      <alignment horizontal="center" vertical="center" wrapText="1"/>
    </xf>
    <xf numFmtId="169" fontId="55" fillId="16" borderId="12" xfId="0" applyNumberFormat="1" applyFont="1" applyFill="1" applyBorder="1" applyAlignment="1">
      <alignment horizontal="center" vertical="center" wrapText="1"/>
    </xf>
    <xf numFmtId="0" fontId="51" fillId="10" borderId="12" xfId="0" applyFont="1" applyFill="1" applyBorder="1" applyAlignment="1">
      <alignment horizontal="left" vertical="center" wrapText="1"/>
    </xf>
    <xf numFmtId="0" fontId="27" fillId="10" borderId="12" xfId="0" applyFont="1" applyFill="1" applyBorder="1"/>
    <xf numFmtId="164" fontId="10" fillId="3" borderId="12" xfId="0" applyNumberFormat="1" applyFont="1" applyFill="1" applyBorder="1" applyAlignment="1">
      <alignment horizontal="center" vertical="center" wrapText="1"/>
    </xf>
    <xf numFmtId="0" fontId="50" fillId="14" borderId="12" xfId="0" applyFont="1" applyFill="1" applyBorder="1" applyAlignment="1">
      <alignment horizontal="left" vertical="center" wrapText="1"/>
    </xf>
    <xf numFmtId="0" fontId="51" fillId="14" borderId="12" xfId="0" applyFont="1" applyFill="1" applyBorder="1" applyAlignment="1">
      <alignment horizontal="left" vertical="center" wrapText="1"/>
    </xf>
    <xf numFmtId="0" fontId="56" fillId="14" borderId="12" xfId="0" applyFont="1" applyFill="1" applyBorder="1"/>
    <xf numFmtId="168" fontId="16" fillId="12" borderId="12" xfId="0" applyNumberFormat="1" applyFont="1" applyFill="1" applyBorder="1" applyAlignment="1">
      <alignment horizontal="center" vertical="center" wrapText="1"/>
    </xf>
    <xf numFmtId="168" fontId="16" fillId="12" borderId="36" xfId="0" applyNumberFormat="1" applyFont="1" applyFill="1" applyBorder="1" applyAlignment="1">
      <alignment horizontal="center" vertical="center" wrapText="1"/>
    </xf>
    <xf numFmtId="0" fontId="57" fillId="3" borderId="0" xfId="0" applyFont="1" applyFill="1"/>
    <xf numFmtId="0" fontId="0" fillId="0" borderId="0" xfId="0" applyAlignment="1">
      <alignment horizontal="left"/>
    </xf>
    <xf numFmtId="0" fontId="0" fillId="2" borderId="0" xfId="0" applyFill="1" applyAlignment="1">
      <alignment horizontal="left"/>
    </xf>
    <xf numFmtId="0" fontId="16" fillId="9" borderId="12" xfId="0" applyFont="1" applyFill="1" applyBorder="1" applyAlignment="1">
      <alignment horizontal="left" vertical="center" wrapText="1"/>
    </xf>
    <xf numFmtId="0" fontId="4" fillId="3" borderId="12" xfId="0" applyFont="1" applyFill="1" applyBorder="1" applyAlignment="1">
      <alignment horizontal="left" vertical="center" wrapText="1"/>
    </xf>
    <xf numFmtId="171" fontId="10" fillId="3" borderId="12" xfId="0" applyNumberFormat="1" applyFont="1" applyFill="1" applyBorder="1" applyAlignment="1">
      <alignment horizontal="center" vertical="center" wrapText="1"/>
    </xf>
    <xf numFmtId="0" fontId="4" fillId="10" borderId="12" xfId="0" applyFont="1" applyFill="1" applyBorder="1" applyAlignment="1">
      <alignment horizontal="left" vertical="center" wrapText="1"/>
    </xf>
    <xf numFmtId="171" fontId="10" fillId="10" borderId="12" xfId="0" applyNumberFormat="1" applyFont="1" applyFill="1" applyBorder="1" applyAlignment="1">
      <alignment horizontal="center" vertical="center" wrapText="1"/>
    </xf>
    <xf numFmtId="0" fontId="16" fillId="3" borderId="38" xfId="0" applyFont="1" applyFill="1" applyBorder="1" applyAlignment="1">
      <alignment horizontal="center" vertical="center" wrapText="1"/>
    </xf>
    <xf numFmtId="0" fontId="16" fillId="3" borderId="39" xfId="0" applyFont="1" applyFill="1" applyBorder="1" applyAlignment="1">
      <alignment horizontal="center" vertical="center" wrapText="1"/>
    </xf>
    <xf numFmtId="0" fontId="16" fillId="3" borderId="12" xfId="0" applyFont="1" applyFill="1" applyBorder="1" applyAlignment="1">
      <alignment horizontal="center" vertical="center" wrapText="1"/>
    </xf>
    <xf numFmtId="0" fontId="10" fillId="3" borderId="38" xfId="0" applyFont="1" applyFill="1" applyBorder="1" applyAlignment="1">
      <alignment horizontal="center" vertical="center" wrapText="1"/>
    </xf>
    <xf numFmtId="0" fontId="0" fillId="3" borderId="39" xfId="0" applyFill="1" applyBorder="1"/>
    <xf numFmtId="0" fontId="0" fillId="3" borderId="40" xfId="0" applyFill="1" applyBorder="1"/>
    <xf numFmtId="0" fontId="0" fillId="3" borderId="23" xfId="0" applyFill="1" applyBorder="1"/>
    <xf numFmtId="0" fontId="0" fillId="3" borderId="0" xfId="0" applyFill="1" applyAlignment="1">
      <alignment horizontal="left"/>
    </xf>
    <xf numFmtId="0" fontId="59" fillId="5" borderId="0" xfId="0" applyFont="1" applyFill="1" applyAlignment="1">
      <alignment wrapText="1"/>
    </xf>
    <xf numFmtId="0" fontId="16" fillId="3" borderId="31" xfId="0" applyFont="1" applyFill="1" applyBorder="1" applyAlignment="1">
      <alignment horizontal="left" vertical="center" wrapText="1"/>
    </xf>
    <xf numFmtId="0" fontId="7" fillId="5" borderId="12" xfId="0" applyFont="1" applyFill="1" applyBorder="1" applyAlignment="1">
      <alignment horizontal="center" vertical="center" wrapText="1"/>
    </xf>
    <xf numFmtId="0" fontId="51" fillId="3" borderId="12" xfId="0" applyFont="1" applyFill="1" applyBorder="1" applyAlignment="1">
      <alignment horizontal="center" vertical="center" wrapText="1"/>
    </xf>
    <xf numFmtId="0" fontId="40" fillId="10" borderId="31" xfId="0" applyFont="1" applyFill="1" applyBorder="1" applyAlignment="1">
      <alignment horizontal="left" vertical="center" wrapText="1"/>
    </xf>
    <xf numFmtId="0" fontId="0" fillId="10" borderId="12" xfId="0" applyFill="1" applyBorder="1" applyAlignment="1">
      <alignment wrapText="1"/>
    </xf>
    <xf numFmtId="0" fontId="40" fillId="3" borderId="31" xfId="0" applyFont="1" applyFill="1" applyBorder="1" applyAlignment="1">
      <alignment horizontal="left" vertical="center" wrapText="1"/>
    </xf>
    <xf numFmtId="0" fontId="0" fillId="3" borderId="12" xfId="0" applyFill="1" applyBorder="1" applyAlignment="1">
      <alignment wrapText="1"/>
    </xf>
    <xf numFmtId="164" fontId="52" fillId="14" borderId="12" xfId="0" applyNumberFormat="1" applyFont="1" applyFill="1" applyBorder="1" applyAlignment="1">
      <alignment horizontal="center" vertical="center" wrapText="1"/>
    </xf>
    <xf numFmtId="0" fontId="60" fillId="3" borderId="12" xfId="0" applyFont="1" applyFill="1" applyBorder="1" applyAlignment="1">
      <alignment horizontal="left" vertical="center" wrapText="1"/>
    </xf>
    <xf numFmtId="0" fontId="16" fillId="9" borderId="28" xfId="0" applyFont="1" applyFill="1" applyBorder="1" applyAlignment="1">
      <alignment horizontal="left" vertical="center" wrapText="1"/>
    </xf>
    <xf numFmtId="164" fontId="16" fillId="9" borderId="29" xfId="0" applyNumberFormat="1" applyFont="1" applyFill="1" applyBorder="1" applyAlignment="1">
      <alignment horizontal="center" vertical="center" wrapText="1"/>
    </xf>
    <xf numFmtId="0" fontId="61" fillId="9" borderId="29" xfId="0" applyFont="1" applyFill="1" applyBorder="1" applyAlignment="1">
      <alignment horizontal="center" vertical="center" wrapText="1"/>
    </xf>
    <xf numFmtId="0" fontId="6" fillId="9" borderId="29" xfId="0" applyFont="1" applyFill="1" applyBorder="1" applyAlignment="1">
      <alignment horizontal="center" wrapText="1"/>
    </xf>
    <xf numFmtId="0" fontId="46" fillId="3" borderId="12" xfId="0" applyFont="1" applyFill="1" applyBorder="1" applyAlignment="1">
      <alignment horizontal="center"/>
    </xf>
    <xf numFmtId="0" fontId="42" fillId="13" borderId="12" xfId="0" applyFont="1" applyFill="1" applyBorder="1" applyAlignment="1">
      <alignment wrapText="1"/>
    </xf>
    <xf numFmtId="0" fontId="0" fillId="3" borderId="32" xfId="0" applyFill="1" applyBorder="1"/>
    <xf numFmtId="0" fontId="46" fillId="10" borderId="12" xfId="0" applyFont="1" applyFill="1" applyBorder="1" applyAlignment="1">
      <alignment horizontal="center"/>
    </xf>
    <xf numFmtId="0" fontId="0" fillId="10" borderId="32" xfId="0" applyFill="1" applyBorder="1"/>
    <xf numFmtId="0" fontId="40" fillId="3" borderId="33" xfId="0" applyFont="1" applyFill="1" applyBorder="1" applyAlignment="1">
      <alignment horizontal="left" vertical="center" wrapText="1"/>
    </xf>
    <xf numFmtId="0" fontId="62" fillId="3" borderId="34" xfId="0" applyFont="1" applyFill="1" applyBorder="1" applyAlignment="1">
      <alignment horizontal="right" vertical="center" wrapText="1"/>
    </xf>
    <xf numFmtId="0" fontId="63" fillId="3" borderId="34" xfId="0" applyFont="1" applyFill="1" applyBorder="1" applyAlignment="1">
      <alignment horizontal="right"/>
    </xf>
    <xf numFmtId="0" fontId="46" fillId="3" borderId="34" xfId="0" applyFont="1" applyFill="1" applyBorder="1" applyAlignment="1">
      <alignment horizontal="center"/>
    </xf>
    <xf numFmtId="0" fontId="42" fillId="13" borderId="34" xfId="0" applyFont="1" applyFill="1" applyBorder="1" applyAlignment="1">
      <alignment wrapText="1"/>
    </xf>
    <xf numFmtId="0" fontId="0" fillId="3" borderId="34" xfId="0" applyFill="1" applyBorder="1"/>
    <xf numFmtId="0" fontId="0" fillId="3" borderId="35" xfId="0" applyFill="1" applyBorder="1"/>
    <xf numFmtId="0" fontId="40" fillId="3" borderId="0" xfId="0" applyFont="1" applyFill="1" applyAlignment="1">
      <alignment horizontal="left" vertical="center" wrapText="1"/>
    </xf>
    <xf numFmtId="164" fontId="10" fillId="3" borderId="0" xfId="0" applyNumberFormat="1" applyFont="1" applyFill="1" applyAlignment="1">
      <alignment horizontal="center" vertical="center" wrapText="1"/>
    </xf>
    <xf numFmtId="0" fontId="62" fillId="3" borderId="0" xfId="0" applyFont="1" applyFill="1" applyAlignment="1">
      <alignment horizontal="left" vertical="center" wrapText="1"/>
    </xf>
    <xf numFmtId="0" fontId="53" fillId="15" borderId="12" xfId="0" applyFont="1" applyFill="1" applyBorder="1" applyAlignment="1">
      <alignment horizontal="left" vertical="center" wrapText="1"/>
    </xf>
    <xf numFmtId="168" fontId="65" fillId="15" borderId="12" xfId="0" applyNumberFormat="1" applyFont="1" applyFill="1" applyBorder="1" applyAlignment="1">
      <alignment horizontal="center" vertical="center" wrapText="1"/>
    </xf>
    <xf numFmtId="0" fontId="51" fillId="15" borderId="12" xfId="0" applyFont="1" applyFill="1" applyBorder="1" applyAlignment="1">
      <alignment horizontal="left" vertical="center" wrapText="1"/>
    </xf>
    <xf numFmtId="0" fontId="66" fillId="15" borderId="12" xfId="0" applyFont="1" applyFill="1" applyBorder="1"/>
    <xf numFmtId="169" fontId="0" fillId="0" borderId="0" xfId="0" applyNumberFormat="1"/>
    <xf numFmtId="9" fontId="0" fillId="0" borderId="0" xfId="0" applyNumberFormat="1"/>
    <xf numFmtId="9" fontId="32" fillId="5" borderId="12" xfId="0" applyNumberFormat="1" applyFont="1" applyFill="1" applyBorder="1" applyAlignment="1">
      <alignment horizontal="center"/>
    </xf>
    <xf numFmtId="0" fontId="16" fillId="9" borderId="44" xfId="0" applyFont="1" applyFill="1" applyBorder="1" applyAlignment="1">
      <alignment horizontal="center" vertical="center" wrapText="1"/>
    </xf>
    <xf numFmtId="164" fontId="18" fillId="3" borderId="36" xfId="0" applyNumberFormat="1" applyFont="1" applyFill="1" applyBorder="1" applyAlignment="1">
      <alignment horizontal="right" vertical="center"/>
    </xf>
    <xf numFmtId="164" fontId="20" fillId="10" borderId="36" xfId="0" applyNumberFormat="1" applyFont="1" applyFill="1" applyBorder="1" applyAlignment="1">
      <alignment horizontal="right" vertical="center"/>
    </xf>
    <xf numFmtId="164" fontId="17" fillId="3" borderId="36" xfId="0" applyNumberFormat="1" applyFont="1" applyFill="1" applyBorder="1" applyAlignment="1">
      <alignment horizontal="right" vertical="center"/>
    </xf>
    <xf numFmtId="165" fontId="21" fillId="10" borderId="36" xfId="0" applyNumberFormat="1" applyFont="1" applyFill="1" applyBorder="1" applyAlignment="1">
      <alignment horizontal="center" vertical="center" wrapText="1"/>
    </xf>
    <xf numFmtId="0" fontId="16" fillId="18" borderId="0" xfId="0" applyFont="1" applyFill="1" applyBorder="1" applyAlignment="1">
      <alignment horizontal="center" vertical="center" wrapText="1"/>
    </xf>
    <xf numFmtId="0" fontId="0" fillId="19" borderId="0" xfId="0" applyFill="1" applyBorder="1"/>
    <xf numFmtId="9" fontId="0" fillId="19" borderId="0" xfId="1" applyFont="1" applyFill="1" applyBorder="1"/>
    <xf numFmtId="9" fontId="0" fillId="19" borderId="0" xfId="0" applyNumberFormat="1" applyFill="1" applyBorder="1"/>
    <xf numFmtId="164" fontId="20" fillId="20" borderId="0" xfId="0" applyNumberFormat="1" applyFont="1" applyFill="1" applyBorder="1" applyAlignment="1">
      <alignment horizontal="right" vertical="center"/>
    </xf>
    <xf numFmtId="168" fontId="0" fillId="19" borderId="0" xfId="1" applyNumberFormat="1" applyFont="1" applyFill="1" applyBorder="1"/>
    <xf numFmtId="168" fontId="32" fillId="5" borderId="12" xfId="1" applyNumberFormat="1" applyFont="1" applyFill="1" applyBorder="1" applyAlignment="1">
      <alignment horizontal="center"/>
    </xf>
    <xf numFmtId="10" fontId="32" fillId="5" borderId="12" xfId="0" applyNumberFormat="1" applyFont="1" applyFill="1" applyBorder="1" applyAlignment="1">
      <alignment horizontal="center"/>
    </xf>
    <xf numFmtId="168" fontId="7" fillId="10" borderId="12" xfId="0" applyNumberFormat="1" applyFont="1" applyFill="1" applyBorder="1" applyAlignment="1">
      <alignment horizontal="center" vertical="center" wrapText="1"/>
    </xf>
    <xf numFmtId="168" fontId="58" fillId="10" borderId="12" xfId="0" applyNumberFormat="1" applyFont="1" applyFill="1" applyBorder="1" applyAlignment="1">
      <alignment horizontal="center" vertical="center" wrapText="1"/>
    </xf>
    <xf numFmtId="168" fontId="41" fillId="10" borderId="12" xfId="0" applyNumberFormat="1" applyFont="1" applyFill="1" applyBorder="1" applyAlignment="1">
      <alignment horizontal="center" vertical="center" wrapText="1"/>
    </xf>
    <xf numFmtId="168" fontId="7" fillId="3" borderId="12" xfId="0" applyNumberFormat="1" applyFont="1" applyFill="1" applyBorder="1" applyAlignment="1">
      <alignment horizontal="center" vertical="center" wrapText="1"/>
    </xf>
    <xf numFmtId="168" fontId="58" fillId="3" borderId="12" xfId="0" applyNumberFormat="1" applyFont="1" applyFill="1" applyBorder="1" applyAlignment="1">
      <alignment horizontal="center" vertical="center" wrapText="1"/>
    </xf>
    <xf numFmtId="168" fontId="41" fillId="3" borderId="12" xfId="0" applyNumberFormat="1" applyFont="1" applyFill="1" applyBorder="1" applyAlignment="1">
      <alignment horizontal="center" vertical="center"/>
    </xf>
    <xf numFmtId="173" fontId="0" fillId="0" borderId="0" xfId="0" applyNumberFormat="1"/>
    <xf numFmtId="10" fontId="0" fillId="0" borderId="0" xfId="1" applyNumberFormat="1" applyFont="1"/>
    <xf numFmtId="164" fontId="70" fillId="10" borderId="0" xfId="0" applyNumberFormat="1" applyFont="1" applyFill="1" applyAlignment="1">
      <alignment horizontal="right"/>
    </xf>
    <xf numFmtId="0" fontId="71" fillId="10" borderId="12" xfId="0" applyFont="1" applyFill="1" applyBorder="1" applyAlignment="1">
      <alignment horizontal="left" vertical="center" indent="1"/>
    </xf>
    <xf numFmtId="164" fontId="72" fillId="10" borderId="12" xfId="0" applyNumberFormat="1" applyFont="1" applyFill="1" applyBorder="1" applyAlignment="1">
      <alignment horizontal="right" vertical="center"/>
    </xf>
    <xf numFmtId="9" fontId="0" fillId="0" borderId="0" xfId="1" applyFont="1"/>
    <xf numFmtId="9" fontId="7" fillId="3" borderId="12" xfId="1" applyFont="1" applyFill="1" applyBorder="1" applyAlignment="1">
      <alignment horizontal="center" vertical="center" wrapText="1"/>
    </xf>
    <xf numFmtId="168" fontId="7" fillId="3" borderId="12" xfId="1" applyNumberFormat="1" applyFont="1" applyFill="1" applyBorder="1" applyAlignment="1">
      <alignment horizontal="center" vertical="center" wrapText="1"/>
    </xf>
    <xf numFmtId="0" fontId="42" fillId="3" borderId="36" xfId="0" applyFont="1" applyFill="1" applyBorder="1" applyAlignment="1">
      <alignment wrapText="1"/>
    </xf>
    <xf numFmtId="0" fontId="42" fillId="10" borderId="36" xfId="0" applyFont="1" applyFill="1" applyBorder="1" applyAlignment="1">
      <alignment wrapText="1"/>
    </xf>
    <xf numFmtId="168" fontId="69" fillId="20" borderId="0" xfId="0" applyNumberFormat="1" applyFont="1" applyFill="1" applyBorder="1" applyAlignment="1">
      <alignment horizontal="center" vertical="center" wrapText="1"/>
    </xf>
    <xf numFmtId="168" fontId="69" fillId="20" borderId="45" xfId="0" applyNumberFormat="1" applyFont="1" applyFill="1" applyBorder="1" applyAlignment="1">
      <alignment horizontal="center" vertical="center" wrapText="1"/>
    </xf>
    <xf numFmtId="0" fontId="0" fillId="19" borderId="45" xfId="0" applyFill="1" applyBorder="1"/>
    <xf numFmtId="168" fontId="73" fillId="5" borderId="12" xfId="0" applyNumberFormat="1" applyFont="1" applyFill="1" applyBorder="1" applyAlignment="1">
      <alignment horizontal="center" vertical="center" wrapText="1"/>
    </xf>
    <xf numFmtId="2" fontId="73" fillId="5" borderId="12" xfId="0" applyNumberFormat="1" applyFont="1" applyFill="1" applyBorder="1" applyAlignment="1">
      <alignment horizontal="center" vertical="center" wrapText="1"/>
    </xf>
    <xf numFmtId="164" fontId="69" fillId="10" borderId="12" xfId="0" applyNumberFormat="1" applyFont="1" applyFill="1" applyBorder="1" applyAlignment="1">
      <alignment horizontal="center" vertical="center" wrapText="1"/>
    </xf>
    <xf numFmtId="174" fontId="4" fillId="3" borderId="12" xfId="0" applyNumberFormat="1" applyFont="1" applyFill="1" applyBorder="1" applyAlignment="1">
      <alignment horizontal="center" vertical="center" wrapText="1"/>
    </xf>
    <xf numFmtId="168" fontId="74" fillId="5" borderId="12" xfId="0" applyNumberFormat="1" applyFont="1" applyFill="1" applyBorder="1" applyAlignment="1">
      <alignment horizontal="center" vertical="center" wrapText="1"/>
    </xf>
    <xf numFmtId="164" fontId="24" fillId="10" borderId="12" xfId="0" applyNumberFormat="1" applyFont="1" applyFill="1" applyBorder="1" applyAlignment="1">
      <alignment horizontal="center" vertical="center" wrapText="1"/>
    </xf>
    <xf numFmtId="169" fontId="69" fillId="10" borderId="12" xfId="0" applyNumberFormat="1" applyFont="1" applyFill="1" applyBorder="1" applyAlignment="1">
      <alignment horizontal="center" vertical="center" wrapText="1"/>
    </xf>
    <xf numFmtId="2" fontId="69" fillId="5" borderId="12" xfId="1" applyNumberFormat="1" applyFont="1" applyFill="1" applyBorder="1" applyAlignment="1">
      <alignment horizontal="center" vertical="center" wrapText="1"/>
    </xf>
    <xf numFmtId="175" fontId="50" fillId="14" borderId="12" xfId="0" applyNumberFormat="1" applyFont="1" applyFill="1" applyBorder="1" applyAlignment="1">
      <alignment horizontal="center" vertical="center" wrapText="1"/>
    </xf>
    <xf numFmtId="175" fontId="69" fillId="10" borderId="12" xfId="0" applyNumberFormat="1" applyFont="1" applyFill="1" applyBorder="1" applyAlignment="1">
      <alignment horizontal="center" vertical="center" wrapText="1"/>
    </xf>
    <xf numFmtId="169" fontId="24" fillId="3" borderId="12" xfId="0" applyNumberFormat="1" applyFont="1" applyFill="1" applyBorder="1" applyAlignment="1">
      <alignment horizontal="center" vertical="center" wrapText="1"/>
    </xf>
    <xf numFmtId="169" fontId="75" fillId="12" borderId="12" xfId="0" applyNumberFormat="1" applyFont="1" applyFill="1" applyBorder="1" applyAlignment="1">
      <alignment horizontal="center" vertical="center" wrapText="1"/>
    </xf>
    <xf numFmtId="171" fontId="76" fillId="20" borderId="12" xfId="0" applyNumberFormat="1" applyFont="1" applyFill="1" applyBorder="1" applyAlignment="1">
      <alignment horizontal="center" vertical="center" wrapText="1"/>
    </xf>
    <xf numFmtId="171" fontId="76" fillId="22" borderId="12" xfId="0" applyNumberFormat="1" applyFont="1" applyFill="1" applyBorder="1" applyAlignment="1">
      <alignment horizontal="center" vertical="center" wrapText="1"/>
    </xf>
    <xf numFmtId="171" fontId="76" fillId="3" borderId="12" xfId="0" applyNumberFormat="1" applyFont="1" applyFill="1" applyBorder="1" applyAlignment="1">
      <alignment horizontal="center" vertical="center" wrapText="1"/>
    </xf>
    <xf numFmtId="2" fontId="77" fillId="0" borderId="0" xfId="0" applyNumberFormat="1" applyFont="1" applyAlignment="1">
      <alignment horizontal="center" vertical="center"/>
    </xf>
    <xf numFmtId="175" fontId="77" fillId="0" borderId="0" xfId="0" applyNumberFormat="1" applyFont="1" applyAlignment="1">
      <alignment horizontal="center" vertical="center"/>
    </xf>
    <xf numFmtId="2" fontId="77" fillId="21" borderId="0" xfId="0" applyNumberFormat="1" applyFont="1" applyFill="1" applyAlignment="1">
      <alignment horizontal="center" vertical="center"/>
    </xf>
    <xf numFmtId="175" fontId="77" fillId="21" borderId="0" xfId="0" applyNumberFormat="1" applyFont="1" applyFill="1" applyAlignment="1">
      <alignment horizontal="center" vertical="center"/>
    </xf>
    <xf numFmtId="0" fontId="77" fillId="0" borderId="0" xfId="0" applyFont="1" applyAlignment="1">
      <alignment horizontal="center"/>
    </xf>
    <xf numFmtId="168" fontId="76" fillId="0" borderId="46" xfId="1" applyNumberFormat="1" applyFont="1" applyBorder="1" applyAlignment="1">
      <alignment horizontal="center"/>
    </xf>
    <xf numFmtId="0" fontId="77" fillId="21" borderId="0" xfId="0" applyFont="1" applyFill="1" applyAlignment="1">
      <alignment horizontal="center"/>
    </xf>
    <xf numFmtId="168" fontId="76" fillId="21" borderId="47" xfId="1" applyNumberFormat="1" applyFont="1" applyFill="1" applyBorder="1" applyAlignment="1">
      <alignment horizontal="center"/>
    </xf>
    <xf numFmtId="168" fontId="76" fillId="0" borderId="47" xfId="1" applyNumberFormat="1" applyFont="1" applyBorder="1" applyAlignment="1">
      <alignment horizontal="center"/>
    </xf>
    <xf numFmtId="168" fontId="76" fillId="0" borderId="48" xfId="1" applyNumberFormat="1" applyFont="1" applyBorder="1" applyAlignment="1">
      <alignment horizontal="center"/>
    </xf>
    <xf numFmtId="0" fontId="77" fillId="5" borderId="12" xfId="0" applyFont="1" applyFill="1" applyBorder="1" applyAlignment="1">
      <alignment horizontal="left" vertical="center" wrapText="1"/>
    </xf>
    <xf numFmtId="176" fontId="77" fillId="0" borderId="0" xfId="0" applyNumberFormat="1" applyFont="1" applyAlignment="1">
      <alignment horizontal="center" vertical="center"/>
    </xf>
    <xf numFmtId="176" fontId="77" fillId="21" borderId="0" xfId="0" applyNumberFormat="1" applyFont="1" applyFill="1" applyAlignment="1">
      <alignment horizontal="center" vertical="center"/>
    </xf>
    <xf numFmtId="10" fontId="77" fillId="0" borderId="0" xfId="1" applyNumberFormat="1" applyFont="1" applyAlignment="1">
      <alignment horizontal="center"/>
    </xf>
    <xf numFmtId="168" fontId="77" fillId="0" borderId="0" xfId="1" applyNumberFormat="1" applyFont="1" applyAlignment="1">
      <alignment horizontal="center"/>
    </xf>
    <xf numFmtId="168" fontId="77" fillId="21" borderId="0" xfId="1" applyNumberFormat="1" applyFont="1" applyFill="1" applyAlignment="1">
      <alignment horizontal="center"/>
    </xf>
    <xf numFmtId="10" fontId="10" fillId="10" borderId="12" xfId="0" applyNumberFormat="1" applyFont="1" applyFill="1" applyBorder="1" applyAlignment="1">
      <alignment horizontal="center" vertical="center" wrapText="1"/>
    </xf>
    <xf numFmtId="1" fontId="77" fillId="0" borderId="0" xfId="0" applyNumberFormat="1" applyFont="1" applyAlignment="1">
      <alignment horizontal="center"/>
    </xf>
    <xf numFmtId="175" fontId="7" fillId="5" borderId="12" xfId="0" applyNumberFormat="1" applyFont="1" applyFill="1" applyBorder="1" applyAlignment="1">
      <alignment horizontal="center" vertical="center" wrapText="1"/>
    </xf>
    <xf numFmtId="175" fontId="7" fillId="10" borderId="12" xfId="0" applyNumberFormat="1" applyFont="1" applyFill="1" applyBorder="1" applyAlignment="1">
      <alignment horizontal="center" vertical="center" wrapText="1"/>
    </xf>
    <xf numFmtId="37" fontId="32" fillId="5" borderId="12" xfId="0" applyNumberFormat="1" applyFont="1" applyFill="1" applyBorder="1" applyAlignment="1">
      <alignment horizontal="center"/>
    </xf>
    <xf numFmtId="171" fontId="7" fillId="3" borderId="12" xfId="0" applyNumberFormat="1" applyFont="1" applyFill="1" applyBorder="1" applyAlignment="1">
      <alignment horizontal="center" vertical="center" wrapText="1"/>
    </xf>
    <xf numFmtId="171" fontId="7" fillId="10" borderId="12" xfId="0" applyNumberFormat="1" applyFont="1" applyFill="1" applyBorder="1" applyAlignment="1">
      <alignment horizontal="center" vertical="center" wrapText="1"/>
    </xf>
    <xf numFmtId="171" fontId="7" fillId="3" borderId="34" xfId="0" applyNumberFormat="1" applyFont="1" applyFill="1" applyBorder="1" applyAlignment="1">
      <alignment horizontal="center" vertical="center" wrapText="1"/>
    </xf>
    <xf numFmtId="0" fontId="78" fillId="3" borderId="12" xfId="0" applyFont="1" applyFill="1" applyBorder="1" applyAlignment="1">
      <alignment horizontal="right" vertical="center" wrapText="1"/>
    </xf>
    <xf numFmtId="175" fontId="78" fillId="10" borderId="12" xfId="0" applyNumberFormat="1" applyFont="1" applyFill="1" applyBorder="1" applyAlignment="1">
      <alignment horizontal="right" vertical="center" wrapText="1"/>
    </xf>
    <xf numFmtId="173" fontId="27" fillId="3" borderId="12" xfId="0" applyNumberFormat="1" applyFont="1" applyFill="1" applyBorder="1" applyAlignment="1">
      <alignment horizontal="right"/>
    </xf>
    <xf numFmtId="175" fontId="27" fillId="10" borderId="12" xfId="0" applyNumberFormat="1" applyFont="1" applyFill="1" applyBorder="1" applyAlignment="1">
      <alignment horizontal="right"/>
    </xf>
    <xf numFmtId="175" fontId="27" fillId="3" borderId="34" xfId="0" applyNumberFormat="1" applyFont="1" applyFill="1" applyBorder="1" applyAlignment="1">
      <alignment horizontal="right"/>
    </xf>
    <xf numFmtId="172" fontId="27" fillId="3" borderId="12" xfId="0" applyNumberFormat="1" applyFont="1" applyFill="1" applyBorder="1" applyAlignment="1">
      <alignment horizontal="right"/>
    </xf>
    <xf numFmtId="172" fontId="27" fillId="10" borderId="12" xfId="0" applyNumberFormat="1" applyFont="1" applyFill="1" applyBorder="1" applyAlignment="1">
      <alignment horizontal="right"/>
    </xf>
    <xf numFmtId="172" fontId="27" fillId="3" borderId="34" xfId="0" applyNumberFormat="1" applyFont="1" applyFill="1" applyBorder="1" applyAlignment="1">
      <alignment horizontal="right"/>
    </xf>
    <xf numFmtId="175" fontId="69" fillId="5" borderId="12" xfId="0" applyNumberFormat="1" applyFont="1" applyFill="1" applyBorder="1" applyAlignment="1">
      <alignment horizontal="center" vertical="center" wrapText="1"/>
    </xf>
    <xf numFmtId="9" fontId="7" fillId="5" borderId="12" xfId="0" applyNumberFormat="1" applyFont="1" applyFill="1" applyBorder="1" applyAlignment="1">
      <alignment horizontal="center" vertical="center" wrapText="1"/>
    </xf>
    <xf numFmtId="175" fontId="24" fillId="10" borderId="12" xfId="0" applyNumberFormat="1" applyFont="1" applyFill="1" applyBorder="1" applyAlignment="1">
      <alignment horizontal="center" vertical="center" wrapText="1"/>
    </xf>
    <xf numFmtId="175" fontId="24" fillId="3" borderId="12" xfId="0" applyNumberFormat="1" applyFont="1" applyFill="1" applyBorder="1" applyAlignment="1">
      <alignment horizontal="center" vertical="center" wrapText="1"/>
    </xf>
    <xf numFmtId="175" fontId="79" fillId="15" borderId="12" xfId="0" applyNumberFormat="1" applyFont="1" applyFill="1" applyBorder="1" applyAlignment="1">
      <alignment horizontal="center" vertical="center" wrapText="1"/>
    </xf>
    <xf numFmtId="175" fontId="78" fillId="5" borderId="12" xfId="0" applyNumberFormat="1" applyFont="1" applyFill="1" applyBorder="1" applyAlignment="1">
      <alignment horizontal="center" vertical="center" wrapText="1"/>
    </xf>
    <xf numFmtId="175" fontId="78" fillId="5" borderId="36" xfId="0" applyNumberFormat="1" applyFont="1" applyFill="1" applyBorder="1" applyAlignment="1">
      <alignment horizontal="center" vertical="center" wrapText="1"/>
    </xf>
    <xf numFmtId="0" fontId="0" fillId="0" borderId="0" xfId="0" applyAlignment="1">
      <alignment horizontal="right"/>
    </xf>
    <xf numFmtId="0" fontId="0" fillId="0" borderId="0" xfId="0" applyAlignment="1"/>
    <xf numFmtId="1" fontId="0" fillId="0" borderId="0" xfId="0" applyNumberFormat="1"/>
    <xf numFmtId="0" fontId="15" fillId="6" borderId="0" xfId="0" applyFont="1" applyFill="1" applyAlignment="1">
      <alignment horizontal="left" vertical="center" wrapText="1"/>
    </xf>
    <xf numFmtId="0" fontId="13" fillId="2" borderId="0" xfId="0" applyFont="1" applyFill="1" applyAlignment="1">
      <alignment horizontal="center" vertical="center" wrapText="1"/>
    </xf>
    <xf numFmtId="0" fontId="23" fillId="5" borderId="12" xfId="0" applyFont="1" applyFill="1" applyBorder="1" applyAlignment="1">
      <alignment horizontal="left" vertical="center" wrapText="1"/>
    </xf>
    <xf numFmtId="0" fontId="67" fillId="5" borderId="12" xfId="0" applyFont="1" applyFill="1" applyBorder="1" applyAlignment="1">
      <alignment horizontal="left" vertical="center" wrapText="1"/>
    </xf>
    <xf numFmtId="0" fontId="64" fillId="17" borderId="43" xfId="0" applyFont="1" applyFill="1" applyBorder="1" applyAlignment="1">
      <alignment horizontal="left" vertical="top" wrapText="1"/>
    </xf>
    <xf numFmtId="0" fontId="28" fillId="2" borderId="0" xfId="0" applyFont="1" applyFill="1" applyAlignment="1">
      <alignment horizontal="center" vertical="center" wrapText="1"/>
    </xf>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3" borderId="0" xfId="0" applyFont="1" applyFill="1" applyAlignment="1">
      <alignment horizontal="left"/>
    </xf>
    <xf numFmtId="0" fontId="6" fillId="6" borderId="3" xfId="0" applyFont="1" applyFill="1" applyBorder="1" applyAlignment="1">
      <alignment horizontal="left" indent="1"/>
    </xf>
    <xf numFmtId="0" fontId="8" fillId="0" borderId="5" xfId="0" applyFont="1" applyBorder="1"/>
    <xf numFmtId="0" fontId="8" fillId="0" borderId="8" xfId="0" applyFont="1" applyBorder="1"/>
    <xf numFmtId="0" fontId="6" fillId="6" borderId="0" xfId="0" applyFont="1" applyFill="1" applyAlignment="1">
      <alignment horizontal="left" indent="1"/>
    </xf>
    <xf numFmtId="0" fontId="10" fillId="0" borderId="9" xfId="0" applyFont="1" applyBorder="1" applyAlignment="1">
      <alignment indent="1"/>
    </xf>
    <xf numFmtId="0" fontId="11" fillId="7" borderId="10" xfId="0" applyFont="1" applyFill="1" applyBorder="1" applyAlignment="1">
      <alignment indent="1"/>
    </xf>
    <xf numFmtId="0" fontId="12" fillId="2" borderId="0" xfId="0" applyFont="1" applyFill="1" applyAlignment="1">
      <alignment horizontal="center"/>
    </xf>
    <xf numFmtId="0" fontId="11" fillId="7" borderId="9" xfId="0" applyFont="1" applyFill="1" applyBorder="1" applyAlignment="1">
      <alignment indent="1"/>
    </xf>
    <xf numFmtId="0" fontId="14" fillId="8" borderId="0" xfId="0" applyFont="1" applyFill="1" applyAlignment="1">
      <alignment horizontal="center" vertical="center" wrapText="1"/>
    </xf>
    <xf numFmtId="0" fontId="29" fillId="2" borderId="0" xfId="0" applyFont="1" applyFill="1"/>
    <xf numFmtId="0" fontId="30" fillId="5" borderId="0" xfId="0" applyFont="1" applyFill="1" applyAlignment="1">
      <alignment wrapText="1"/>
    </xf>
    <xf numFmtId="0" fontId="31" fillId="6" borderId="19" xfId="0" applyFont="1" applyFill="1" applyBorder="1" applyAlignment="1">
      <alignment horizontal="left"/>
    </xf>
    <xf numFmtId="0" fontId="34" fillId="0" borderId="0" xfId="0" applyFont="1" applyAlignment="1">
      <alignment horizontal="center"/>
    </xf>
    <xf numFmtId="0" fontId="35" fillId="2" borderId="0" xfId="0" applyFont="1" applyFill="1" applyAlignment="1">
      <alignment horizontal="center" vertical="center" wrapText="1"/>
    </xf>
    <xf numFmtId="0" fontId="37" fillId="5" borderId="0" xfId="0" applyFont="1" applyFill="1" applyAlignment="1">
      <alignment horizontal="left" vertical="center" wrapText="1"/>
    </xf>
    <xf numFmtId="0" fontId="22" fillId="13" borderId="0" xfId="0" applyFont="1" applyFill="1" applyAlignment="1">
      <alignment horizontal="left" vertical="top" wrapText="1"/>
    </xf>
    <xf numFmtId="0" fontId="54" fillId="5" borderId="0" xfId="0" applyFont="1" applyFill="1" applyAlignment="1">
      <alignment horizontal="left" vertical="top" wrapText="1"/>
    </xf>
    <xf numFmtId="0" fontId="15" fillId="6" borderId="37" xfId="0" applyFont="1" applyFill="1" applyBorder="1" applyAlignment="1">
      <alignment horizontal="left" vertical="center"/>
    </xf>
    <xf numFmtId="0" fontId="15" fillId="6" borderId="42" xfId="0" applyFont="1" applyFill="1" applyBorder="1" applyAlignment="1">
      <alignment horizontal="left" vertical="center"/>
    </xf>
    <xf numFmtId="0" fontId="64" fillId="7" borderId="35" xfId="0" applyFont="1" applyFill="1" applyBorder="1" applyAlignment="1">
      <alignment horizontal="left" vertical="top" wrapText="1"/>
    </xf>
    <xf numFmtId="0" fontId="13" fillId="2" borderId="0" xfId="0" applyFont="1" applyFill="1" applyAlignment="1">
      <alignment horizontal="center" vertical="center"/>
    </xf>
    <xf numFmtId="0" fontId="0" fillId="3" borderId="37" xfId="0" applyFill="1" applyBorder="1"/>
    <xf numFmtId="0" fontId="15" fillId="6" borderId="28" xfId="0" applyFont="1" applyFill="1" applyBorder="1" applyAlignment="1">
      <alignment horizontal="center" vertical="center"/>
    </xf>
    <xf numFmtId="0" fontId="26" fillId="6" borderId="41" xfId="0" applyFont="1" applyFill="1" applyBorder="1"/>
    <xf numFmtId="0" fontId="16" fillId="9" borderId="28" xfId="0" applyFont="1" applyFill="1" applyBorder="1" applyAlignment="1">
      <alignment horizontal="center" vertical="center" wrapText="1"/>
    </xf>
  </cellXfs>
  <cellStyles count="2">
    <cellStyle name="Normal" xfId="0" builtinId="0"/>
    <cellStyle name="Per cent" xfId="1" builtinId="5"/>
  </cellStyles>
  <dxfs count="0"/>
  <tableStyles count="0" defaultTableStyle="TableStyleMedium2" defaultPivotStyle="PivotStyleLight16"/>
  <colors>
    <indexedColors>
      <rgbColor rgb="FF000000"/>
      <rgbColor rgb="FFFFFFFF"/>
      <rgbColor rgb="FFFF0000"/>
      <rgbColor rgb="FF00FF00"/>
      <rgbColor rgb="FF0000FF"/>
      <rgbColor rgb="FFF9FAFB"/>
      <rgbColor rgb="FFFF00FF"/>
      <rgbColor rgb="FF00FFFF"/>
      <rgbColor rgb="FF800000"/>
      <rgbColor rgb="FF008000"/>
      <rgbColor rgb="FF04080F"/>
      <rgbColor rgb="FF808000"/>
      <rgbColor rgb="FF7C3AED"/>
      <rgbColor rgb="FF0F766E"/>
      <rgbColor rgb="FFB0C4D8"/>
      <rgbColor rgb="FF9CA3AF"/>
      <rgbColor rgb="FF94A3B8"/>
      <rgbColor rgb="FFB91C1C"/>
      <rgbColor rgb="FFFEF3C7"/>
      <rgbColor rgb="FFDBEAFE"/>
      <rgbColor rgb="FF660066"/>
      <rgbColor rgb="FFFF8080"/>
      <rgbColor rgb="FF1D4ED8"/>
      <rgbColor rgb="FFCBD5E1"/>
      <rgbColor rgb="FF1E3A5F"/>
      <rgbColor rgb="FFFF00FF"/>
      <rgbColor rgb="FFF7FAFD"/>
      <rgbColor rgb="FF00FFFF"/>
      <rgbColor rgb="FF800080"/>
      <rgbColor rgb="FF800000"/>
      <rgbColor rgb="FF065F46"/>
      <rgbColor rgb="FF0000FF"/>
      <rgbColor rgb="FF00CCFF"/>
      <rgbColor rgb="FFEFF6FF"/>
      <rgbColor rgb="FFD1FAE5"/>
      <rgbColor rgb="FFFFFBEB"/>
      <rgbColor rgb="FFD1D5DB"/>
      <rgbColor rgb="FFF3F4F6"/>
      <rgbColor rgb="FFF0F4F8"/>
      <rgbColor rgb="FFE8EDF4"/>
      <rgbColor rgb="FF2E5082"/>
      <rgbColor rgb="FF4AACFF"/>
      <rgbColor rgb="FF99CC00"/>
      <rgbColor rgb="FFFFCC00"/>
      <rgbColor rgb="FFFF9900"/>
      <rgbColor rgb="FFFF6600"/>
      <rgbColor rgb="FF6B7280"/>
      <rgbColor rgb="FF8B9DB5"/>
      <rgbColor rgb="FF1A3A5C"/>
      <rgbColor rgb="FF0F5132"/>
      <rgbColor rgb="FF0F2744"/>
      <rgbColor rgb="FF1A2332"/>
      <rgbColor rgb="FF92400E"/>
      <rgbColor rgb="FFB45309"/>
      <rgbColor rgb="FF1E40AF"/>
      <rgbColor rgb="FF374151"/>
      <rgbColor rgb="00003366"/>
      <rgbColor rgb="00339966"/>
      <rgbColor rgb="00003300"/>
      <rgbColor rgb="00333300"/>
      <rgbColor rgb="00993300"/>
      <rgbColor rgb="00993366"/>
      <rgbColor rgb="00333399"/>
      <rgbColor rgb="00333333"/>
    </indexedColors>
    <mruColors>
      <color rgb="FF0033CC"/>
      <color rgb="FF00CC00"/>
      <color rgb="FF3ADA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sheetMetadata" Target="metadata.xml" /><Relationship Id="rId5" Type="http://schemas.openxmlformats.org/officeDocument/2006/relationships/worksheet" Target="worksheets/sheet5.xml" /><Relationship Id="rId10" Type="http://schemas.openxmlformats.org/officeDocument/2006/relationships/sharedStrings" Target="sharedStrings.xml" /><Relationship Id="rId4" Type="http://schemas.openxmlformats.org/officeDocument/2006/relationships/worksheet" Target="worksheets/sheet4.xml" /><Relationship Id="rId9" Type="http://schemas.openxmlformats.org/officeDocument/2006/relationships/styles" Target="styles.xml" /></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 /><Relationship Id="rId2" Type="http://schemas.microsoft.com/office/2011/relationships/chartColorStyle" Target="colors1.xml" /><Relationship Id="rId1" Type="http://schemas.microsoft.com/office/2011/relationships/chartStyle" Target="style1.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SUMMARY!$B$39</c:f>
              <c:strCache>
                <c:ptCount val="1"/>
                <c:pt idx="0">
                  <c:v>LOW</c:v>
                </c:pt>
              </c:strCache>
            </c:strRef>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SUMMARY!$A$40:$A$42</c:f>
              <c:strCache>
                <c:ptCount val="3"/>
                <c:pt idx="0">
                  <c:v>DCF</c:v>
                </c:pt>
                <c:pt idx="1">
                  <c:v>EV/EBITDA</c:v>
                </c:pt>
                <c:pt idx="2">
                  <c:v>P/E</c:v>
                </c:pt>
              </c:strCache>
            </c:strRef>
          </c:cat>
          <c:val>
            <c:numRef>
              <c:f>SUMMARY!$B$40:$B$42</c:f>
              <c:numCache>
                <c:formatCode>0</c:formatCode>
                <c:ptCount val="3"/>
                <c:pt idx="0">
                  <c:v>76.028573786770338</c:v>
                </c:pt>
                <c:pt idx="1">
                  <c:v>154.93823999999998</c:v>
                </c:pt>
                <c:pt idx="2">
                  <c:v>134.02920960000003</c:v>
                </c:pt>
              </c:numCache>
            </c:numRef>
          </c:val>
          <c:extLst>
            <c:ext xmlns:c16="http://schemas.microsoft.com/office/drawing/2014/chart" uri="{C3380CC4-5D6E-409C-BE32-E72D297353CC}">
              <c16:uniqueId val="{00000000-8A9C-4ACA-B927-DA6BFC0D9784}"/>
            </c:ext>
          </c:extLst>
        </c:ser>
        <c:ser>
          <c:idx val="1"/>
          <c:order val="1"/>
          <c:tx>
            <c:strRef>
              <c:f>SUMMARY!$C$39</c:f>
              <c:strCache>
                <c:ptCount val="1"/>
                <c:pt idx="0">
                  <c:v>HIGH</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SUMMARY!$A$40:$A$42</c:f>
              <c:strCache>
                <c:ptCount val="3"/>
                <c:pt idx="0">
                  <c:v>DCF</c:v>
                </c:pt>
                <c:pt idx="1">
                  <c:v>EV/EBITDA</c:v>
                </c:pt>
                <c:pt idx="2">
                  <c:v>P/E</c:v>
                </c:pt>
              </c:strCache>
            </c:strRef>
          </c:cat>
          <c:val>
            <c:numRef>
              <c:f>SUMMARY!$C$40:$C$42</c:f>
              <c:numCache>
                <c:formatCode>0</c:formatCode>
                <c:ptCount val="3"/>
                <c:pt idx="0">
                  <c:v>84.476193096411478</c:v>
                </c:pt>
                <c:pt idx="1">
                  <c:v>172.15359999999998</c:v>
                </c:pt>
                <c:pt idx="2">
                  <c:v>148.92134400000003</c:v>
                </c:pt>
              </c:numCache>
            </c:numRef>
          </c:val>
          <c:extLst>
            <c:ext xmlns:c16="http://schemas.microsoft.com/office/drawing/2014/chart" uri="{C3380CC4-5D6E-409C-BE32-E72D297353CC}">
              <c16:uniqueId val="{00000001-8A9C-4ACA-B927-DA6BFC0D9784}"/>
            </c:ext>
          </c:extLst>
        </c:ser>
        <c:dLbls>
          <c:showLegendKey val="0"/>
          <c:showVal val="0"/>
          <c:showCatName val="0"/>
          <c:showSerName val="0"/>
          <c:showPercent val="0"/>
          <c:showBubbleSize val="0"/>
        </c:dLbls>
        <c:gapWidth val="150"/>
        <c:overlap val="100"/>
        <c:axId val="780828688"/>
        <c:axId val="780828272"/>
      </c:barChart>
      <c:catAx>
        <c:axId val="780828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828272"/>
        <c:crosses val="autoZero"/>
        <c:auto val="1"/>
        <c:lblAlgn val="ctr"/>
        <c:lblOffset val="100"/>
        <c:noMultiLvlLbl val="0"/>
      </c:catAx>
      <c:valAx>
        <c:axId val="780828272"/>
        <c:scaling>
          <c:orientation val="minMax"/>
        </c:scaling>
        <c:delete val="1"/>
        <c:axPos val="b"/>
        <c:numFmt formatCode="0" sourceLinked="1"/>
        <c:majorTickMark val="none"/>
        <c:minorTickMark val="none"/>
        <c:tickLblPos val="nextTo"/>
        <c:crossAx val="78082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dr:twoCellAnchor>
    <xdr:from>
      <xdr:col>3</xdr:col>
      <xdr:colOff>201705</xdr:colOff>
      <xdr:row>22</xdr:row>
      <xdr:rowOff>71717</xdr:rowOff>
    </xdr:from>
    <xdr:to>
      <xdr:col>6</xdr:col>
      <xdr:colOff>766481</xdr:colOff>
      <xdr:row>33</xdr:row>
      <xdr:rowOff>188258</xdr:rowOff>
    </xdr:to>
    <xdr:graphicFrame macro="">
      <xdr:nvGraphicFramePr>
        <xdr:cNvPr id="2" name="Chart 1">
          <a:extLst>
            <a:ext uri="{FF2B5EF4-FFF2-40B4-BE49-F238E27FC236}">
              <a16:creationId xmlns:a16="http://schemas.microsoft.com/office/drawing/2014/main" id="{1CEA9DD8-E806-4CED-89EE-938B07223A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0.4951</cdr:x>
      <cdr:y>0.01307</cdr:y>
    </cdr:from>
    <cdr:to>
      <cdr:x>0.4951</cdr:x>
      <cdr:y>0.9464</cdr:y>
    </cdr:to>
    <cdr:cxnSp macro="">
      <cdr:nvCxnSpPr>
        <cdr:cNvPr id="3" name="Straight Connector 2">
          <a:extLst xmlns:a="http://schemas.openxmlformats.org/drawingml/2006/main">
            <a:ext uri="{FF2B5EF4-FFF2-40B4-BE49-F238E27FC236}">
              <a16:creationId xmlns:a16="http://schemas.microsoft.com/office/drawing/2014/main" id="{10FC4F96-D1EF-4F1D-B19F-CBFA50BD1D0A}"/>
            </a:ext>
          </a:extLst>
        </cdr:cNvPr>
        <cdr:cNvCxnSpPr/>
      </cdr:nvCxnSpPr>
      <cdr:spPr>
        <a:xfrm xmlns:a="http://schemas.openxmlformats.org/drawingml/2006/main">
          <a:off x="2263583" y="35848"/>
          <a:ext cx="6" cy="2560320"/>
        </a:xfrm>
        <a:prstGeom xmlns:a="http://schemas.openxmlformats.org/drawingml/2006/main" prst="line">
          <a:avLst/>
        </a:prstGeom>
        <a:ln xmlns:a="http://schemas.openxmlformats.org/drawingml/2006/main" w="9525">
          <a:solidFill>
            <a:schemeClr val="tx1">
              <a:lumMod val="75000"/>
              <a:lumOff val="2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4080F"/>
  </sheetPr>
  <dimension ref="A1:H37"/>
  <sheetViews>
    <sheetView showGridLines="0" topLeftCell="A4" zoomScaleNormal="100" workbookViewId="0">
      <selection activeCell="C14" sqref="C14"/>
    </sheetView>
  </sheetViews>
  <sheetFormatPr defaultColWidth="8.609375" defaultRowHeight="15" x14ac:dyDescent="0.2"/>
  <cols>
    <col min="1" max="1" width="29.7265625" customWidth="1"/>
    <col min="2" max="2" width="3.62890625" customWidth="1"/>
    <col min="3" max="8" width="24.078125" customWidth="1"/>
  </cols>
  <sheetData>
    <row r="1" spans="1:8" ht="51.75" customHeight="1" x14ac:dyDescent="0.2">
      <c r="A1" s="285" t="s">
        <v>0</v>
      </c>
      <c r="B1" s="285"/>
      <c r="C1" s="285"/>
      <c r="D1" s="285"/>
      <c r="E1" s="285"/>
      <c r="F1" s="285"/>
      <c r="G1" s="285"/>
      <c r="H1" s="285"/>
    </row>
    <row r="2" spans="1:8" ht="12" customHeight="1" x14ac:dyDescent="0.2">
      <c r="A2" s="1"/>
      <c r="B2" s="1"/>
      <c r="C2" s="1"/>
      <c r="D2" s="1"/>
      <c r="E2" s="1"/>
      <c r="F2" s="1"/>
      <c r="G2" s="1"/>
      <c r="H2" s="1"/>
    </row>
    <row r="3" spans="1:8" ht="12" customHeight="1" x14ac:dyDescent="0.2">
      <c r="A3" s="1"/>
      <c r="B3" s="1"/>
      <c r="C3" s="1"/>
      <c r="D3" s="1"/>
      <c r="E3" s="1"/>
      <c r="F3" s="1"/>
      <c r="G3" s="1"/>
      <c r="H3" s="1"/>
    </row>
    <row r="4" spans="1:8" ht="19.5" customHeight="1" x14ac:dyDescent="0.2">
      <c r="A4" s="1"/>
      <c r="B4" s="1"/>
      <c r="C4" s="1"/>
      <c r="D4" s="1"/>
      <c r="E4" s="1"/>
      <c r="F4" s="1"/>
      <c r="G4" s="1"/>
      <c r="H4" s="1"/>
    </row>
    <row r="5" spans="1:8" ht="24" customHeight="1" x14ac:dyDescent="0.2">
      <c r="A5" s="286" t="s">
        <v>1</v>
      </c>
      <c r="B5" s="286"/>
      <c r="C5" s="286"/>
      <c r="D5" s="286"/>
      <c r="E5" s="286"/>
      <c r="F5" s="286"/>
      <c r="G5" s="286"/>
      <c r="H5" s="286"/>
    </row>
    <row r="6" spans="1:8" ht="9.75" customHeight="1" x14ac:dyDescent="0.2">
      <c r="A6" s="1"/>
      <c r="B6" s="1"/>
      <c r="C6" s="1"/>
      <c r="D6" s="1"/>
      <c r="E6" s="1"/>
      <c r="F6" s="1"/>
      <c r="G6" s="1"/>
      <c r="H6" s="1"/>
    </row>
    <row r="7" spans="1:8" ht="9.75" customHeight="1" x14ac:dyDescent="0.2">
      <c r="A7" s="1"/>
      <c r="B7" s="1"/>
      <c r="C7" s="1"/>
      <c r="D7" s="1"/>
      <c r="E7" s="1"/>
      <c r="F7" s="1"/>
      <c r="G7" s="1"/>
      <c r="H7" s="1"/>
    </row>
    <row r="8" spans="1:8" ht="19.5" customHeight="1" x14ac:dyDescent="0.2">
      <c r="A8" s="287" t="s">
        <v>2</v>
      </c>
      <c r="B8" s="287"/>
      <c r="C8" s="287"/>
      <c r="D8" s="287"/>
      <c r="E8" s="287"/>
      <c r="F8" s="287"/>
      <c r="G8" s="287"/>
      <c r="H8" s="287"/>
    </row>
    <row r="9" spans="1:8" ht="27.75" customHeight="1" x14ac:dyDescent="0.2">
      <c r="A9" s="2" t="s">
        <v>3</v>
      </c>
      <c r="B9" s="3"/>
      <c r="C9" s="4" t="s">
        <v>321</v>
      </c>
      <c r="D9" s="5"/>
      <c r="E9" s="5"/>
      <c r="F9" s="5"/>
      <c r="G9" s="5"/>
      <c r="H9" s="5"/>
    </row>
    <row r="10" spans="1:8" ht="7.5" customHeight="1" x14ac:dyDescent="0.2"/>
    <row r="11" spans="1:8" ht="27.75" customHeight="1" x14ac:dyDescent="0.2">
      <c r="A11" s="2" t="s">
        <v>4</v>
      </c>
      <c r="B11" s="3"/>
      <c r="C11" s="4" t="s">
        <v>322</v>
      </c>
      <c r="D11" s="5"/>
      <c r="E11" s="5"/>
      <c r="F11" s="5"/>
      <c r="G11" s="5"/>
      <c r="H11" s="5"/>
    </row>
    <row r="12" spans="1:8" ht="7.5" customHeight="1" x14ac:dyDescent="0.2"/>
    <row r="13" spans="1:8" ht="27.75" customHeight="1" x14ac:dyDescent="0.2">
      <c r="A13" s="2" t="s">
        <v>5</v>
      </c>
      <c r="B13" s="3"/>
      <c r="C13" s="4" t="s">
        <v>326</v>
      </c>
      <c r="D13" s="5"/>
      <c r="E13" s="5"/>
      <c r="F13" s="5"/>
      <c r="G13" s="5"/>
      <c r="H13" s="5"/>
    </row>
    <row r="14" spans="1:8" ht="12" customHeight="1" x14ac:dyDescent="0.2"/>
    <row r="15" spans="1:8" ht="7.5" customHeight="1" x14ac:dyDescent="0.2"/>
    <row r="16" spans="1:8" ht="3.75" customHeight="1" x14ac:dyDescent="0.2">
      <c r="A16" s="6"/>
      <c r="B16" s="6"/>
      <c r="C16" s="6"/>
      <c r="D16" s="6"/>
      <c r="E16" s="6"/>
      <c r="F16" s="6"/>
      <c r="G16" s="6"/>
      <c r="H16" s="6"/>
    </row>
    <row r="17" spans="1:8" ht="21.75" customHeight="1" x14ac:dyDescent="0.2">
      <c r="A17" s="288" t="s">
        <v>6</v>
      </c>
      <c r="B17" s="288"/>
      <c r="C17" s="288"/>
      <c r="D17" s="288"/>
      <c r="E17" s="288"/>
      <c r="F17" s="288"/>
      <c r="G17" s="288"/>
      <c r="H17" s="288"/>
    </row>
    <row r="18" spans="1:8" ht="19.5" customHeight="1" x14ac:dyDescent="0.2">
      <c r="A18" s="7" t="s">
        <v>7</v>
      </c>
      <c r="B18" s="6"/>
      <c r="C18" s="289" t="s">
        <v>8</v>
      </c>
      <c r="D18" s="289"/>
      <c r="E18" s="289"/>
      <c r="F18" s="289"/>
      <c r="G18" s="289"/>
      <c r="H18" s="289"/>
    </row>
    <row r="19" spans="1:8" ht="19.5" customHeight="1" x14ac:dyDescent="0.2">
      <c r="A19" s="8" t="s">
        <v>9</v>
      </c>
      <c r="B19" s="3"/>
      <c r="C19" s="289" t="s">
        <v>10</v>
      </c>
      <c r="D19" s="289"/>
      <c r="E19" s="289"/>
      <c r="F19" s="289"/>
      <c r="G19" s="289"/>
      <c r="H19" s="289"/>
    </row>
    <row r="20" spans="1:8" ht="19.5" customHeight="1" x14ac:dyDescent="0.2">
      <c r="A20" s="9" t="s">
        <v>11</v>
      </c>
      <c r="B20" s="6"/>
      <c r="C20" s="289" t="s">
        <v>12</v>
      </c>
      <c r="D20" s="289"/>
      <c r="E20" s="289"/>
      <c r="F20" s="289"/>
      <c r="G20" s="289"/>
      <c r="H20" s="289"/>
    </row>
    <row r="21" spans="1:8" ht="19.5" customHeight="1" x14ac:dyDescent="0.2">
      <c r="A21" s="10" t="s">
        <v>13</v>
      </c>
      <c r="B21" s="11"/>
      <c r="C21" s="290" t="s">
        <v>14</v>
      </c>
      <c r="D21" s="290"/>
      <c r="E21" s="290"/>
      <c r="F21" s="290"/>
      <c r="G21" s="290"/>
      <c r="H21" s="290"/>
    </row>
    <row r="22" spans="1:8" ht="7.5" customHeight="1" x14ac:dyDescent="0.2"/>
    <row r="23" spans="1:8" ht="21.75" customHeight="1" x14ac:dyDescent="0.2">
      <c r="A23" s="291" t="s">
        <v>15</v>
      </c>
      <c r="B23" s="291"/>
      <c r="C23" s="291"/>
      <c r="D23" s="291"/>
      <c r="E23" s="291"/>
      <c r="F23" s="291"/>
      <c r="G23" s="291"/>
      <c r="H23" s="291"/>
    </row>
    <row r="24" spans="1:8" ht="19.5" customHeight="1" x14ac:dyDescent="0.2">
      <c r="A24" s="292" t="s">
        <v>16</v>
      </c>
      <c r="B24" s="292"/>
      <c r="C24" s="292"/>
      <c r="D24" s="292"/>
      <c r="E24" s="292"/>
      <c r="F24" s="292"/>
      <c r="G24" s="292"/>
      <c r="H24" s="292"/>
    </row>
    <row r="25" spans="1:8" ht="19.5" customHeight="1" x14ac:dyDescent="0.2">
      <c r="A25" s="292" t="s">
        <v>17</v>
      </c>
      <c r="B25" s="292"/>
      <c r="C25" s="292"/>
      <c r="D25" s="292"/>
      <c r="E25" s="292"/>
      <c r="F25" s="292"/>
      <c r="G25" s="292"/>
      <c r="H25" s="292"/>
    </row>
    <row r="26" spans="1:8" ht="19.5" customHeight="1" x14ac:dyDescent="0.2">
      <c r="A26" s="292" t="s">
        <v>18</v>
      </c>
      <c r="B26" s="292"/>
      <c r="C26" s="292"/>
      <c r="D26" s="292"/>
      <c r="E26" s="292"/>
      <c r="F26" s="292"/>
      <c r="G26" s="292"/>
      <c r="H26" s="292"/>
    </row>
    <row r="27" spans="1:8" ht="19.5" customHeight="1" x14ac:dyDescent="0.2">
      <c r="A27" s="292" t="s">
        <v>19</v>
      </c>
      <c r="B27" s="292"/>
      <c r="C27" s="292"/>
      <c r="D27" s="292"/>
      <c r="E27" s="292"/>
      <c r="F27" s="292"/>
      <c r="G27" s="292"/>
      <c r="H27" s="292"/>
    </row>
    <row r="28" spans="1:8" ht="19.5" customHeight="1" x14ac:dyDescent="0.2">
      <c r="A28" s="292" t="s">
        <v>20</v>
      </c>
      <c r="B28" s="292"/>
      <c r="C28" s="292"/>
      <c r="D28" s="292"/>
      <c r="E28" s="292"/>
      <c r="F28" s="292"/>
      <c r="G28" s="292"/>
      <c r="H28" s="292"/>
    </row>
    <row r="29" spans="1:8" ht="18" customHeight="1" x14ac:dyDescent="0.2">
      <c r="A29" s="295" t="s">
        <v>21</v>
      </c>
      <c r="B29" s="295"/>
      <c r="C29" s="295"/>
      <c r="D29" s="295"/>
      <c r="E29" s="295"/>
      <c r="F29" s="295"/>
      <c r="G29" s="295"/>
      <c r="H29" s="295"/>
    </row>
    <row r="30" spans="1:8" ht="18" customHeight="1" x14ac:dyDescent="0.2">
      <c r="A30" s="293" t="s">
        <v>22</v>
      </c>
      <c r="B30" s="293"/>
      <c r="C30" s="293"/>
      <c r="D30" s="293"/>
      <c r="E30" s="293"/>
      <c r="F30" s="293"/>
      <c r="G30" s="293"/>
      <c r="H30" s="293"/>
    </row>
    <row r="31" spans="1:8" ht="9.75" customHeight="1" x14ac:dyDescent="0.2"/>
    <row r="32" spans="1:8" ht="19.5" customHeight="1" x14ac:dyDescent="0.2">
      <c r="A32" s="294" t="s">
        <v>23</v>
      </c>
      <c r="B32" s="294"/>
      <c r="C32" s="294"/>
      <c r="D32" s="294"/>
      <c r="E32" s="294"/>
      <c r="F32" s="294"/>
      <c r="G32" s="294"/>
      <c r="H32" s="294"/>
    </row>
    <row r="33" ht="18" customHeight="1" x14ac:dyDescent="0.2"/>
    <row r="34" ht="7.5" customHeight="1" x14ac:dyDescent="0.2"/>
    <row r="35" ht="7.5" customHeight="1" x14ac:dyDescent="0.2"/>
    <row r="36" ht="18" customHeight="1" x14ac:dyDescent="0.2"/>
    <row r="37" ht="18" customHeight="1" x14ac:dyDescent="0.2"/>
  </sheetData>
  <mergeCells count="17">
    <mergeCell ref="A30:H30"/>
    <mergeCell ref="A32:H32"/>
    <mergeCell ref="A25:H25"/>
    <mergeCell ref="A26:H26"/>
    <mergeCell ref="A27:H27"/>
    <mergeCell ref="A28:H28"/>
    <mergeCell ref="A29:H29"/>
    <mergeCell ref="C19:H19"/>
    <mergeCell ref="C20:H20"/>
    <mergeCell ref="C21:H21"/>
    <mergeCell ref="A23:H23"/>
    <mergeCell ref="A24:H24"/>
    <mergeCell ref="A1:H1"/>
    <mergeCell ref="A5:H5"/>
    <mergeCell ref="A8:H8"/>
    <mergeCell ref="A17:H17"/>
    <mergeCell ref="C18:H1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3A5C"/>
  </sheetPr>
  <dimension ref="A1:G53"/>
  <sheetViews>
    <sheetView showGridLines="0" topLeftCell="A16" zoomScale="70" zoomScaleNormal="70" workbookViewId="0">
      <selection activeCell="F30" sqref="F30"/>
    </sheetView>
  </sheetViews>
  <sheetFormatPr defaultColWidth="8.609375" defaultRowHeight="15" x14ac:dyDescent="0.2"/>
  <cols>
    <col min="1" max="1" width="38.875" customWidth="1"/>
    <col min="2" max="3" width="15.73828125" customWidth="1"/>
    <col min="4" max="4" width="17.484375" customWidth="1"/>
  </cols>
  <sheetData>
    <row r="1" spans="1:7" ht="39.75" customHeight="1" x14ac:dyDescent="0.2">
      <c r="A1" s="280" t="s">
        <v>24</v>
      </c>
      <c r="B1" s="280"/>
      <c r="C1" s="280"/>
      <c r="D1" s="280"/>
    </row>
    <row r="2" spans="1:7" ht="7.5" customHeight="1" x14ac:dyDescent="0.2">
      <c r="A2" s="280"/>
      <c r="B2" s="280"/>
      <c r="C2" s="280"/>
      <c r="D2" s="280"/>
    </row>
    <row r="3" spans="1:7" ht="7.5" customHeight="1" x14ac:dyDescent="0.2">
      <c r="A3" s="280"/>
      <c r="B3" s="280"/>
      <c r="C3" s="280"/>
      <c r="D3" s="280"/>
    </row>
    <row r="4" spans="1:7" ht="7.5" customHeight="1" x14ac:dyDescent="0.2">
      <c r="A4" s="280"/>
      <c r="B4" s="280"/>
      <c r="C4" s="280"/>
      <c r="D4" s="280"/>
    </row>
    <row r="5" spans="1:7" ht="21.75" customHeight="1" x14ac:dyDescent="0.2">
      <c r="A5" s="296" t="s">
        <v>25</v>
      </c>
      <c r="B5" s="296"/>
      <c r="C5" s="296"/>
      <c r="D5" s="296"/>
    </row>
    <row r="6" spans="1:7" ht="9.75" customHeight="1" x14ac:dyDescent="0.2">
      <c r="A6" s="6"/>
      <c r="B6" s="6"/>
      <c r="C6" s="6"/>
      <c r="D6" s="6"/>
    </row>
    <row r="7" spans="1:7" ht="25.5" customHeight="1" x14ac:dyDescent="0.2">
      <c r="A7" s="279" t="s">
        <v>26</v>
      </c>
      <c r="B7" s="279"/>
      <c r="C7" s="279"/>
      <c r="D7" s="279"/>
    </row>
    <row r="8" spans="1:7" ht="21.75" customHeight="1" x14ac:dyDescent="0.2">
      <c r="A8" s="13" t="s">
        <v>27</v>
      </c>
      <c r="B8" s="13" t="s">
        <v>28</v>
      </c>
      <c r="C8" s="13" t="s">
        <v>29</v>
      </c>
      <c r="D8" s="190" t="s">
        <v>30</v>
      </c>
      <c r="E8" s="195"/>
      <c r="F8" s="196"/>
      <c r="G8" s="196"/>
    </row>
    <row r="9" spans="1:7" ht="21.75" customHeight="1" x14ac:dyDescent="0.2">
      <c r="A9" s="14" t="s">
        <v>31</v>
      </c>
      <c r="B9" s="15">
        <v>112</v>
      </c>
      <c r="C9" s="15">
        <v>163</v>
      </c>
      <c r="D9" s="191">
        <v>224</v>
      </c>
      <c r="E9" s="197"/>
      <c r="F9" s="197"/>
      <c r="G9" s="198"/>
    </row>
    <row r="10" spans="1:7" ht="21.75" customHeight="1" x14ac:dyDescent="0.2">
      <c r="A10" s="16" t="s">
        <v>32</v>
      </c>
      <c r="B10" s="17">
        <v>-67.2</v>
      </c>
      <c r="C10" s="17">
        <v>-95.4</v>
      </c>
      <c r="D10" s="192">
        <v>-126</v>
      </c>
      <c r="E10" s="197"/>
      <c r="F10" s="199"/>
      <c r="G10" s="196"/>
    </row>
    <row r="11" spans="1:7" ht="21.75" customHeight="1" x14ac:dyDescent="0.2">
      <c r="A11" s="14" t="s">
        <v>33</v>
      </c>
      <c r="B11" s="18">
        <f>B9+B10</f>
        <v>44.8</v>
      </c>
      <c r="C11" s="18">
        <f>C9+C10</f>
        <v>67.599999999999994</v>
      </c>
      <c r="D11" s="193">
        <f>D9+D10</f>
        <v>98</v>
      </c>
      <c r="E11" s="200"/>
      <c r="F11" s="196"/>
      <c r="G11" s="196"/>
    </row>
    <row r="12" spans="1:7" ht="19.5" customHeight="1" x14ac:dyDescent="0.2">
      <c r="A12" s="19" t="s">
        <v>34</v>
      </c>
      <c r="B12" s="20">
        <f>B11/B9</f>
        <v>0.39999999999999997</v>
      </c>
      <c r="C12" s="20">
        <f>C11/C9</f>
        <v>0.41472392638036809</v>
      </c>
      <c r="D12" s="194">
        <f>D11/D9</f>
        <v>0.4375</v>
      </c>
      <c r="E12" s="200"/>
      <c r="F12" s="196"/>
      <c r="G12" s="196"/>
    </row>
    <row r="13" spans="1:7" ht="21.75" customHeight="1" x14ac:dyDescent="0.2">
      <c r="A13" s="21" t="s">
        <v>35</v>
      </c>
      <c r="B13" s="22">
        <v>8.4</v>
      </c>
      <c r="C13" s="22">
        <v>16.3</v>
      </c>
      <c r="D13" s="22">
        <v>26.9</v>
      </c>
    </row>
    <row r="14" spans="1:7" ht="21.75" customHeight="1" x14ac:dyDescent="0.2">
      <c r="A14" s="29" t="s">
        <v>36</v>
      </c>
      <c r="B14" s="30">
        <f>B13/B9</f>
        <v>7.4999999999999997E-2</v>
      </c>
      <c r="C14" s="30">
        <f>C13/C9</f>
        <v>0.1</v>
      </c>
      <c r="D14" s="30">
        <f>D13/D9</f>
        <v>0.1200892857142857</v>
      </c>
    </row>
    <row r="15" spans="1:7" ht="19.5" customHeight="1" x14ac:dyDescent="0.2">
      <c r="A15" s="23" t="s">
        <v>37</v>
      </c>
      <c r="B15" s="24">
        <v>-1.2</v>
      </c>
      <c r="C15" s="24">
        <v>-1.7</v>
      </c>
      <c r="D15" s="24">
        <v>-2.6</v>
      </c>
    </row>
    <row r="16" spans="1:7" ht="21.75" customHeight="1" x14ac:dyDescent="0.2">
      <c r="A16" s="25" t="s">
        <v>38</v>
      </c>
      <c r="B16" s="26">
        <v>7.2</v>
      </c>
      <c r="C16" s="26">
        <v>14.6</v>
      </c>
      <c r="D16" s="26">
        <v>24.3</v>
      </c>
      <c r="E16" s="209"/>
    </row>
    <row r="17" spans="1:7" ht="21.75" customHeight="1" x14ac:dyDescent="0.2">
      <c r="A17" s="27" t="s">
        <v>262</v>
      </c>
      <c r="B17" s="26">
        <v>0.3</v>
      </c>
      <c r="C17" s="26">
        <v>0.4</v>
      </c>
      <c r="D17" s="26">
        <v>0.5</v>
      </c>
      <c r="F17" s="187"/>
      <c r="G17" s="187"/>
    </row>
    <row r="18" spans="1:7" ht="21.75" customHeight="1" x14ac:dyDescent="0.2">
      <c r="A18" s="27" t="s">
        <v>39</v>
      </c>
      <c r="B18" s="28">
        <v>-1.8</v>
      </c>
      <c r="C18" s="28">
        <v>-2.5</v>
      </c>
      <c r="D18" s="28">
        <v>-3.2</v>
      </c>
    </row>
    <row r="19" spans="1:7" ht="21.75" customHeight="1" x14ac:dyDescent="0.2">
      <c r="A19" s="25" t="s">
        <v>40</v>
      </c>
      <c r="B19" s="26">
        <v>5.7</v>
      </c>
      <c r="C19" s="26">
        <v>12.5</v>
      </c>
      <c r="D19" s="26">
        <v>21.6</v>
      </c>
    </row>
    <row r="20" spans="1:7" ht="21.75" customHeight="1" x14ac:dyDescent="0.2">
      <c r="A20" s="27" t="s">
        <v>41</v>
      </c>
      <c r="B20" s="28">
        <v>-3.6</v>
      </c>
      <c r="C20" s="28">
        <v>-6</v>
      </c>
      <c r="D20" s="28">
        <v>-8.1999999999999993</v>
      </c>
      <c r="E20" s="214"/>
      <c r="F20" s="214"/>
    </row>
    <row r="21" spans="1:7" ht="21.75" customHeight="1" x14ac:dyDescent="0.2">
      <c r="A21" s="25" t="s">
        <v>42</v>
      </c>
      <c r="B21" s="26">
        <v>2.1</v>
      </c>
      <c r="C21" s="26">
        <v>6.5</v>
      </c>
      <c r="D21" s="26">
        <v>13.4</v>
      </c>
    </row>
    <row r="22" spans="1:7" ht="19.5" customHeight="1" x14ac:dyDescent="0.2">
      <c r="A22" s="29" t="s">
        <v>43</v>
      </c>
      <c r="B22" s="30">
        <f>B21/B9</f>
        <v>1.8749999999999999E-2</v>
      </c>
      <c r="C22" s="30">
        <f>C21/C9</f>
        <v>3.9877300613496931E-2</v>
      </c>
      <c r="D22" s="30">
        <f>D21/D9</f>
        <v>5.9821428571428574E-2</v>
      </c>
    </row>
    <row r="23" spans="1:7" ht="21.75" customHeight="1" x14ac:dyDescent="0.2">
      <c r="A23" s="31"/>
      <c r="B23" s="31"/>
      <c r="C23" s="31"/>
      <c r="D23" s="31"/>
    </row>
    <row r="24" spans="1:7" ht="21.75" customHeight="1" x14ac:dyDescent="0.2">
      <c r="A24" s="32"/>
      <c r="B24" s="32"/>
      <c r="C24" s="32"/>
      <c r="D24" s="32"/>
    </row>
    <row r="25" spans="1:7" ht="14.25" customHeight="1" x14ac:dyDescent="0.2">
      <c r="A25" s="279" t="s">
        <v>44</v>
      </c>
      <c r="B25" s="279"/>
      <c r="C25" s="279"/>
      <c r="D25" s="279"/>
    </row>
    <row r="26" spans="1:7" ht="9.75" customHeight="1" x14ac:dyDescent="0.2">
      <c r="A26" s="13" t="s">
        <v>27</v>
      </c>
      <c r="B26" s="13" t="s">
        <v>28</v>
      </c>
      <c r="C26" s="13" t="s">
        <v>29</v>
      </c>
      <c r="D26" s="13" t="s">
        <v>30</v>
      </c>
    </row>
    <row r="27" spans="1:7" ht="24" customHeight="1" x14ac:dyDescent="0.2">
      <c r="A27" s="33" t="s">
        <v>45</v>
      </c>
      <c r="B27" s="34"/>
      <c r="C27" s="34"/>
      <c r="D27" s="34"/>
    </row>
    <row r="28" spans="1:7" ht="21.75" customHeight="1" x14ac:dyDescent="0.2">
      <c r="A28" s="27" t="s">
        <v>46</v>
      </c>
      <c r="B28" s="28">
        <v>65</v>
      </c>
      <c r="C28" s="28">
        <v>89</v>
      </c>
      <c r="D28" s="28">
        <v>112</v>
      </c>
      <c r="F28" s="209"/>
    </row>
    <row r="29" spans="1:7" ht="21.75" customHeight="1" x14ac:dyDescent="0.2">
      <c r="A29" s="16" t="s">
        <v>47</v>
      </c>
      <c r="B29" s="17">
        <v>18</v>
      </c>
      <c r="C29" s="17">
        <v>24</v>
      </c>
      <c r="D29" s="17">
        <v>31</v>
      </c>
    </row>
    <row r="30" spans="1:7" ht="21.75" customHeight="1" x14ac:dyDescent="0.2">
      <c r="A30" s="27" t="s">
        <v>48</v>
      </c>
      <c r="B30" s="28">
        <v>12</v>
      </c>
      <c r="C30" s="28">
        <v>16.5</v>
      </c>
      <c r="D30" s="28">
        <v>22</v>
      </c>
    </row>
    <row r="31" spans="1:7" ht="21.75" customHeight="1" x14ac:dyDescent="0.2">
      <c r="A31" s="16" t="s">
        <v>49</v>
      </c>
      <c r="B31" s="17">
        <v>14</v>
      </c>
      <c r="C31" s="17">
        <v>21</v>
      </c>
      <c r="D31" s="17">
        <v>28</v>
      </c>
    </row>
    <row r="32" spans="1:7" ht="21.75" customHeight="1" x14ac:dyDescent="0.2">
      <c r="A32" s="27" t="s">
        <v>50</v>
      </c>
      <c r="B32" s="28">
        <v>5</v>
      </c>
      <c r="C32" s="28">
        <v>6.5</v>
      </c>
      <c r="D32" s="28">
        <v>5</v>
      </c>
    </row>
    <row r="33" spans="1:4" ht="24" customHeight="1" x14ac:dyDescent="0.2">
      <c r="A33" s="35" t="s">
        <v>51</v>
      </c>
      <c r="B33" s="36">
        <f>B28+B29+B30+B31+B32</f>
        <v>114</v>
      </c>
      <c r="C33" s="36">
        <f>C28+C29+C30+C31+C32</f>
        <v>157</v>
      </c>
      <c r="D33" s="36">
        <f>D28+D29+D30+D31+D32</f>
        <v>198</v>
      </c>
    </row>
    <row r="34" spans="1:4" ht="24" customHeight="1" x14ac:dyDescent="0.2">
      <c r="A34" s="33" t="s">
        <v>52</v>
      </c>
      <c r="B34" s="34"/>
      <c r="C34" s="34"/>
      <c r="D34" s="34"/>
    </row>
    <row r="35" spans="1:4" ht="21.75" customHeight="1" x14ac:dyDescent="0.2">
      <c r="A35" s="27" t="s">
        <v>53</v>
      </c>
      <c r="B35" s="28">
        <v>22</v>
      </c>
      <c r="C35" s="28">
        <v>31</v>
      </c>
      <c r="D35" s="28">
        <v>42</v>
      </c>
    </row>
    <row r="36" spans="1:4" ht="21.75" customHeight="1" x14ac:dyDescent="0.2">
      <c r="A36" s="16" t="s">
        <v>54</v>
      </c>
      <c r="B36" s="17">
        <v>15</v>
      </c>
      <c r="C36" s="17">
        <v>19</v>
      </c>
      <c r="D36" s="17">
        <v>26</v>
      </c>
    </row>
    <row r="37" spans="1:4" ht="21.75" customHeight="1" x14ac:dyDescent="0.2">
      <c r="A37" s="27" t="s">
        <v>55</v>
      </c>
      <c r="B37" s="28">
        <v>8</v>
      </c>
      <c r="C37" s="28">
        <v>10</v>
      </c>
      <c r="D37" s="28">
        <v>18</v>
      </c>
    </row>
    <row r="38" spans="1:4" ht="21.75" customHeight="1" x14ac:dyDescent="0.2">
      <c r="A38" s="25" t="s">
        <v>56</v>
      </c>
      <c r="B38" s="26">
        <v>69</v>
      </c>
      <c r="C38" s="26">
        <v>97</v>
      </c>
      <c r="D38" s="26">
        <v>112</v>
      </c>
    </row>
    <row r="39" spans="1:4" ht="24" customHeight="1" x14ac:dyDescent="0.2">
      <c r="A39" s="37" t="s">
        <v>57</v>
      </c>
      <c r="B39" s="38">
        <f>B35+B36+B37+B38</f>
        <v>114</v>
      </c>
      <c r="C39" s="38">
        <f>C35+C36+C37+C38</f>
        <v>157</v>
      </c>
      <c r="D39" s="38">
        <f>D35+D36+D37+D38</f>
        <v>198</v>
      </c>
    </row>
    <row r="40" spans="1:4" ht="21.75" customHeight="1" x14ac:dyDescent="0.2">
      <c r="A40" s="39"/>
      <c r="B40" s="39"/>
      <c r="C40" s="39"/>
      <c r="D40" s="39"/>
    </row>
    <row r="41" spans="1:4" ht="21.75" customHeight="1" x14ac:dyDescent="0.2">
      <c r="A41" s="40"/>
      <c r="B41" s="40"/>
      <c r="C41" s="40"/>
      <c r="D41" s="40"/>
    </row>
    <row r="42" spans="1:4" ht="14.25" customHeight="1" x14ac:dyDescent="0.2">
      <c r="A42" s="279" t="s">
        <v>58</v>
      </c>
      <c r="B42" s="279"/>
      <c r="C42" s="279"/>
      <c r="D42" s="279"/>
    </row>
    <row r="43" spans="1:4" ht="14.25" customHeight="1" x14ac:dyDescent="0.2">
      <c r="A43" s="13" t="s">
        <v>59</v>
      </c>
      <c r="B43" s="13" t="s">
        <v>28</v>
      </c>
      <c r="C43" s="13" t="s">
        <v>29</v>
      </c>
      <c r="D43" s="13" t="s">
        <v>30</v>
      </c>
    </row>
    <row r="44" spans="1:4" ht="21.75" customHeight="1" x14ac:dyDescent="0.2">
      <c r="A44" s="41" t="s">
        <v>60</v>
      </c>
      <c r="B44" s="42" t="s">
        <v>61</v>
      </c>
      <c r="C44" s="42">
        <f>C9/B9-1</f>
        <v>0.45535714285714279</v>
      </c>
      <c r="D44" s="42">
        <f>D9/C9-1</f>
        <v>0.37423312883435589</v>
      </c>
    </row>
    <row r="45" spans="1:4" ht="21.75" customHeight="1" x14ac:dyDescent="0.2">
      <c r="A45" s="43" t="s">
        <v>62</v>
      </c>
      <c r="B45" s="44">
        <f>B13/B9</f>
        <v>7.4999999999999997E-2</v>
      </c>
      <c r="C45" s="44">
        <f>C13/C9</f>
        <v>0.1</v>
      </c>
      <c r="D45" s="44">
        <f>D13/D9</f>
        <v>0.1200892857142857</v>
      </c>
    </row>
    <row r="46" spans="1:4" ht="21.75" customHeight="1" x14ac:dyDescent="0.2">
      <c r="A46" s="41" t="s">
        <v>63</v>
      </c>
      <c r="B46" s="45">
        <f>B35/B38</f>
        <v>0.3188405797101449</v>
      </c>
      <c r="C46" s="45">
        <f>C35/C38</f>
        <v>0.31958762886597936</v>
      </c>
      <c r="D46" s="45">
        <f>D35/D38</f>
        <v>0.375</v>
      </c>
    </row>
    <row r="47" spans="1:4" ht="21.75" customHeight="1" x14ac:dyDescent="0.2">
      <c r="A47" s="43" t="s">
        <v>64</v>
      </c>
      <c r="B47" s="46">
        <f>B16/ABS(B18)</f>
        <v>4</v>
      </c>
      <c r="C47" s="46">
        <f>C16/ABS(C18)</f>
        <v>5.84</v>
      </c>
      <c r="D47" s="46">
        <f>D16/ABS(D18)</f>
        <v>7.59375</v>
      </c>
    </row>
    <row r="48" spans="1:4" ht="21.75" customHeight="1" x14ac:dyDescent="0.2">
      <c r="A48" s="47" t="s">
        <v>65</v>
      </c>
      <c r="B48" s="48">
        <f>B21/B38</f>
        <v>3.0434782608695653E-2</v>
      </c>
      <c r="C48" s="48">
        <f>C21/C38</f>
        <v>6.7010309278350513E-2</v>
      </c>
      <c r="D48" s="48">
        <f>D21/D38</f>
        <v>0.11964285714285715</v>
      </c>
    </row>
    <row r="49" spans="1:4" ht="24" customHeight="1" x14ac:dyDescent="0.2">
      <c r="A49" s="49"/>
      <c r="B49" s="50"/>
      <c r="C49" s="50"/>
      <c r="D49" s="50"/>
    </row>
    <row r="50" spans="1:4" ht="24" customHeight="1" x14ac:dyDescent="0.2">
      <c r="A50" s="51"/>
      <c r="B50" s="51"/>
      <c r="C50" s="51"/>
      <c r="D50" s="51"/>
    </row>
    <row r="51" spans="1:4" ht="24" customHeight="1" x14ac:dyDescent="0.2">
      <c r="A51" s="284" t="s">
        <v>66</v>
      </c>
      <c r="B51" s="284"/>
      <c r="C51" s="284"/>
      <c r="D51" s="284"/>
    </row>
    <row r="52" spans="1:4" ht="9.75" customHeight="1" x14ac:dyDescent="0.2"/>
    <row r="53" spans="1:4" ht="19.5" customHeight="1" x14ac:dyDescent="0.2"/>
  </sheetData>
  <mergeCells count="6">
    <mergeCell ref="A51:D51"/>
    <mergeCell ref="A1:D4"/>
    <mergeCell ref="A5:D5"/>
    <mergeCell ref="A7:D7"/>
    <mergeCell ref="A25:D25"/>
    <mergeCell ref="A42:D4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37"/>
  <sheetViews>
    <sheetView showGridLines="0" zoomScale="85" zoomScaleNormal="85" workbookViewId="0">
      <selection activeCell="D32" sqref="D32"/>
    </sheetView>
  </sheetViews>
  <sheetFormatPr defaultColWidth="8.609375" defaultRowHeight="15" x14ac:dyDescent="0.2"/>
  <cols>
    <col min="1" max="1" width="5.51171875" customWidth="1"/>
    <col min="2" max="2" width="40.7578125" customWidth="1"/>
    <col min="3" max="3" width="22.1953125" customWidth="1"/>
    <col min="4" max="4" width="92.55078125" customWidth="1"/>
    <col min="5" max="5" width="5.51171875" customWidth="1"/>
  </cols>
  <sheetData>
    <row r="1" spans="2:5" ht="39.75" customHeight="1" x14ac:dyDescent="0.2">
      <c r="B1" s="297" t="s">
        <v>67</v>
      </c>
      <c r="C1" s="297"/>
      <c r="D1" s="297"/>
    </row>
    <row r="2" spans="2:5" ht="30" customHeight="1" x14ac:dyDescent="0.2">
      <c r="B2" s="298" t="s">
        <v>68</v>
      </c>
      <c r="C2" s="298"/>
      <c r="D2" s="298"/>
    </row>
    <row r="3" spans="2:5" ht="25.5" customHeight="1" x14ac:dyDescent="0.2">
      <c r="B3" s="52" t="s">
        <v>69</v>
      </c>
      <c r="C3" s="53" t="s">
        <v>70</v>
      </c>
      <c r="D3" s="54" t="s">
        <v>71</v>
      </c>
    </row>
    <row r="4" spans="2:5" ht="24" customHeight="1" x14ac:dyDescent="0.2">
      <c r="B4" s="299" t="s">
        <v>72</v>
      </c>
      <c r="C4" s="299"/>
      <c r="D4" s="299"/>
    </row>
    <row r="5" spans="2:5" ht="57.75" customHeight="1" x14ac:dyDescent="0.2">
      <c r="B5" s="55" t="s">
        <v>73</v>
      </c>
      <c r="C5" s="189">
        <v>0.41</v>
      </c>
      <c r="D5" s="57" t="s">
        <v>263</v>
      </c>
      <c r="E5" s="188"/>
    </row>
    <row r="6" spans="2:5" ht="57.75" customHeight="1" x14ac:dyDescent="0.2">
      <c r="B6" s="58" t="s">
        <v>74</v>
      </c>
      <c r="C6" s="201">
        <f>HISTORICAL!D12</f>
        <v>0.4375</v>
      </c>
      <c r="D6" s="57" t="s">
        <v>264</v>
      </c>
    </row>
    <row r="7" spans="2:5" ht="57.75" customHeight="1" x14ac:dyDescent="0.2">
      <c r="B7" s="55" t="s">
        <v>75</v>
      </c>
      <c r="C7" s="202">
        <v>0.13500000000000001</v>
      </c>
      <c r="D7" s="57" t="s">
        <v>267</v>
      </c>
    </row>
    <row r="8" spans="2:5" ht="57.75" customHeight="1" x14ac:dyDescent="0.2">
      <c r="B8" s="58" t="s">
        <v>76</v>
      </c>
      <c r="C8" s="202">
        <v>1.2E-2</v>
      </c>
      <c r="D8" s="57" t="s">
        <v>269</v>
      </c>
    </row>
    <row r="9" spans="2:5" ht="57.75" customHeight="1" x14ac:dyDescent="0.2">
      <c r="B9" s="55" t="s">
        <v>77</v>
      </c>
      <c r="C9" s="189">
        <v>0.25</v>
      </c>
      <c r="D9" s="57" t="s">
        <v>271</v>
      </c>
    </row>
    <row r="10" spans="2:5" ht="57.75" customHeight="1" x14ac:dyDescent="0.2">
      <c r="B10" s="58" t="s">
        <v>78</v>
      </c>
      <c r="C10" s="189" t="s">
        <v>286</v>
      </c>
      <c r="D10" s="57" t="s">
        <v>274</v>
      </c>
    </row>
    <row r="11" spans="2:5" ht="24" customHeight="1" x14ac:dyDescent="0.2">
      <c r="B11" s="299" t="s">
        <v>79</v>
      </c>
      <c r="C11" s="299"/>
      <c r="D11" s="299"/>
    </row>
    <row r="12" spans="2:5" ht="57.75" customHeight="1" x14ac:dyDescent="0.2">
      <c r="B12" s="58" t="s">
        <v>80</v>
      </c>
      <c r="C12" s="56" t="s">
        <v>277</v>
      </c>
      <c r="D12" s="57" t="s">
        <v>280</v>
      </c>
    </row>
    <row r="13" spans="2:5" ht="57.75" customHeight="1" x14ac:dyDescent="0.2">
      <c r="B13" s="55" t="s">
        <v>81</v>
      </c>
      <c r="C13" s="56" t="s">
        <v>278</v>
      </c>
      <c r="D13" s="57" t="s">
        <v>281</v>
      </c>
    </row>
    <row r="14" spans="2:5" ht="57.75" customHeight="1" x14ac:dyDescent="0.2">
      <c r="B14" s="58" t="s">
        <v>82</v>
      </c>
      <c r="C14" s="56" t="s">
        <v>279</v>
      </c>
      <c r="D14" s="57" t="s">
        <v>282</v>
      </c>
    </row>
    <row r="15" spans="2:5" ht="24" customHeight="1" x14ac:dyDescent="0.2">
      <c r="B15" s="299" t="s">
        <v>83</v>
      </c>
      <c r="C15" s="299"/>
      <c r="D15" s="299"/>
    </row>
    <row r="16" spans="2:5" ht="57.75" customHeight="1" x14ac:dyDescent="0.2">
      <c r="B16" s="58" t="s">
        <v>84</v>
      </c>
      <c r="C16" s="202">
        <v>4.0000000000000001E-3</v>
      </c>
      <c r="D16" s="57" t="s">
        <v>276</v>
      </c>
    </row>
    <row r="17" spans="2:4" ht="24" customHeight="1" x14ac:dyDescent="0.2">
      <c r="B17" s="299" t="s">
        <v>85</v>
      </c>
      <c r="C17" s="299"/>
      <c r="D17" s="299"/>
    </row>
    <row r="18" spans="2:4" ht="57.75" customHeight="1" x14ac:dyDescent="0.2">
      <c r="B18" s="58" t="s">
        <v>86</v>
      </c>
      <c r="C18" s="202">
        <v>6.8000000000000005E-2</v>
      </c>
      <c r="D18" s="57" t="s">
        <v>287</v>
      </c>
    </row>
    <row r="19" spans="2:4" ht="57.75" customHeight="1" x14ac:dyDescent="0.2">
      <c r="B19" s="55" t="s">
        <v>87</v>
      </c>
      <c r="C19" s="189">
        <v>7.0000000000000007E-2</v>
      </c>
      <c r="D19" s="57" t="s">
        <v>288</v>
      </c>
    </row>
    <row r="20" spans="2:4" ht="57.75" customHeight="1" x14ac:dyDescent="0.2">
      <c r="B20" s="58" t="s">
        <v>88</v>
      </c>
      <c r="C20" s="56">
        <v>0.75</v>
      </c>
      <c r="D20" s="57" t="s">
        <v>289</v>
      </c>
    </row>
    <row r="21" spans="2:4" ht="57.75" customHeight="1" x14ac:dyDescent="0.2">
      <c r="B21" s="55" t="s">
        <v>89</v>
      </c>
      <c r="C21" s="202">
        <v>7.5999999999999998E-2</v>
      </c>
      <c r="D21" s="57" t="s">
        <v>290</v>
      </c>
    </row>
    <row r="22" spans="2:4" ht="57.75" customHeight="1" x14ac:dyDescent="0.2">
      <c r="B22" s="58" t="s">
        <v>90</v>
      </c>
      <c r="C22" s="189">
        <v>0.1</v>
      </c>
      <c r="D22" s="57" t="s">
        <v>291</v>
      </c>
    </row>
    <row r="23" spans="2:4" ht="24" customHeight="1" x14ac:dyDescent="0.2">
      <c r="B23" s="299" t="s">
        <v>91</v>
      </c>
      <c r="C23" s="299"/>
      <c r="D23" s="299"/>
    </row>
    <row r="24" spans="2:4" ht="57.75" customHeight="1" x14ac:dyDescent="0.2">
      <c r="B24" s="58" t="s">
        <v>92</v>
      </c>
      <c r="C24" s="189">
        <v>0.05</v>
      </c>
      <c r="D24" s="57" t="s">
        <v>292</v>
      </c>
    </row>
    <row r="25" spans="2:4" ht="24" customHeight="1" x14ac:dyDescent="0.2">
      <c r="B25" s="299" t="s">
        <v>93</v>
      </c>
      <c r="C25" s="299"/>
      <c r="D25" s="299"/>
    </row>
    <row r="26" spans="2:4" ht="57.75" customHeight="1" x14ac:dyDescent="0.2">
      <c r="B26" s="58" t="s">
        <v>94</v>
      </c>
      <c r="C26" s="257">
        <v>-16</v>
      </c>
      <c r="D26" s="57" t="s">
        <v>303</v>
      </c>
    </row>
    <row r="27" spans="2:4" ht="57.75" customHeight="1" x14ac:dyDescent="0.2">
      <c r="B27" s="55" t="s">
        <v>95</v>
      </c>
      <c r="C27" s="56" t="s">
        <v>305</v>
      </c>
      <c r="D27" s="57" t="s">
        <v>304</v>
      </c>
    </row>
    <row r="28" spans="2:4" ht="24" customHeight="1" x14ac:dyDescent="0.2">
      <c r="B28" s="299" t="s">
        <v>96</v>
      </c>
      <c r="C28" s="299"/>
      <c r="D28" s="299"/>
    </row>
    <row r="29" spans="2:4" ht="69.75" customHeight="1" x14ac:dyDescent="0.2">
      <c r="B29" s="59" t="s">
        <v>97</v>
      </c>
      <c r="C29" s="60" t="s">
        <v>307</v>
      </c>
      <c r="D29" s="61" t="s">
        <v>306</v>
      </c>
    </row>
    <row r="30" spans="2:4" ht="57.75" customHeight="1" x14ac:dyDescent="0.2">
      <c r="B30" s="55" t="s">
        <v>98</v>
      </c>
      <c r="C30" s="62" t="s">
        <v>308</v>
      </c>
      <c r="D30" s="63" t="s">
        <v>309</v>
      </c>
    </row>
    <row r="31" spans="2:4" ht="57.75" customHeight="1" x14ac:dyDescent="0.2">
      <c r="B31" s="58" t="s">
        <v>99</v>
      </c>
      <c r="C31" s="56" t="s">
        <v>310</v>
      </c>
      <c r="D31" s="57" t="s">
        <v>311</v>
      </c>
    </row>
    <row r="32" spans="2:4" ht="57.75" customHeight="1" x14ac:dyDescent="0.2">
      <c r="B32" s="55" t="s">
        <v>100</v>
      </c>
      <c r="C32" s="56" t="s">
        <v>312</v>
      </c>
      <c r="D32" s="57" t="s">
        <v>313</v>
      </c>
    </row>
    <row r="33" spans="2:4" ht="14.25" customHeight="1" x14ac:dyDescent="0.2">
      <c r="B33" s="64"/>
      <c r="C33" s="65"/>
      <c r="D33" s="66"/>
    </row>
    <row r="34" spans="2:4" ht="19.5" customHeight="1" x14ac:dyDescent="0.2">
      <c r="B34" s="300" t="s">
        <v>101</v>
      </c>
      <c r="C34" s="300"/>
      <c r="D34" s="300"/>
    </row>
    <row r="37" spans="2:4" x14ac:dyDescent="0.2">
      <c r="D37">
        <v>9</v>
      </c>
    </row>
  </sheetData>
  <mergeCells count="10">
    <mergeCell ref="B17:D17"/>
    <mergeCell ref="B23:D23"/>
    <mergeCell ref="B25:D25"/>
    <mergeCell ref="B28:D28"/>
    <mergeCell ref="B34:D34"/>
    <mergeCell ref="B1:D1"/>
    <mergeCell ref="B2:D2"/>
    <mergeCell ref="B4:D4"/>
    <mergeCell ref="B11:D11"/>
    <mergeCell ref="B15:D15"/>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F5132"/>
  </sheetPr>
  <dimension ref="A1:M49"/>
  <sheetViews>
    <sheetView showGridLines="0" zoomScale="70" zoomScaleNormal="70" workbookViewId="0">
      <pane ySplit="8" topLeftCell="A33" activePane="bottomLeft" state="frozen"/>
      <selection pane="bottomLeft" activeCell="E23" sqref="E23"/>
    </sheetView>
  </sheetViews>
  <sheetFormatPr defaultColWidth="8.609375" defaultRowHeight="15" x14ac:dyDescent="0.2"/>
  <cols>
    <col min="1" max="1" width="51.92578125" customWidth="1"/>
    <col min="2" max="4" width="13.85546875" customWidth="1"/>
    <col min="5" max="9" width="15.19921875" customWidth="1"/>
    <col min="10" max="10" width="36.9921875" customWidth="1"/>
  </cols>
  <sheetData>
    <row r="1" spans="1:13" ht="18.75" x14ac:dyDescent="0.25">
      <c r="A1" s="301" t="s">
        <v>102</v>
      </c>
      <c r="B1" s="301"/>
      <c r="C1" s="301"/>
      <c r="D1" s="301"/>
      <c r="E1" s="301"/>
      <c r="F1" s="301"/>
      <c r="G1" s="301"/>
      <c r="H1" s="67"/>
      <c r="I1" s="67"/>
    </row>
    <row r="2" spans="1:13" x14ac:dyDescent="0.2">
      <c r="A2" s="301"/>
      <c r="B2" s="301"/>
      <c r="C2" s="301"/>
      <c r="D2" s="301"/>
      <c r="E2" s="301"/>
      <c r="F2" s="301"/>
      <c r="G2" s="301"/>
      <c r="H2" s="1"/>
      <c r="I2" s="1"/>
      <c r="J2" s="1"/>
    </row>
    <row r="3" spans="1:13" x14ac:dyDescent="0.2">
      <c r="A3" s="301"/>
      <c r="B3" s="301"/>
      <c r="C3" s="301"/>
      <c r="D3" s="301"/>
      <c r="E3" s="301"/>
      <c r="F3" s="301"/>
      <c r="G3" s="301"/>
      <c r="H3" s="1"/>
      <c r="I3" s="1"/>
      <c r="J3" s="1"/>
    </row>
    <row r="4" spans="1:13" x14ac:dyDescent="0.2">
      <c r="A4" s="301"/>
      <c r="B4" s="301"/>
      <c r="C4" s="301"/>
      <c r="D4" s="301"/>
      <c r="E4" s="301"/>
      <c r="F4" s="301"/>
      <c r="G4" s="301"/>
      <c r="H4" s="1"/>
      <c r="I4" s="1"/>
      <c r="J4" s="1"/>
    </row>
    <row r="5" spans="1:13" ht="25.15" customHeight="1" x14ac:dyDescent="0.2">
      <c r="A5" s="302" t="s">
        <v>103</v>
      </c>
      <c r="B5" s="302"/>
      <c r="C5" s="302"/>
      <c r="D5" s="302"/>
      <c r="E5" s="302"/>
      <c r="F5" s="302"/>
      <c r="G5" s="302"/>
      <c r="H5" s="68"/>
      <c r="I5" s="68"/>
      <c r="J5" s="68"/>
    </row>
    <row r="6" spans="1:13" ht="3.6" customHeight="1" x14ac:dyDescent="0.2">
      <c r="A6" s="6"/>
      <c r="B6" s="6"/>
      <c r="C6" s="6"/>
      <c r="D6" s="6"/>
      <c r="E6" s="6"/>
      <c r="F6" s="6"/>
      <c r="G6" s="6"/>
      <c r="H6" s="6"/>
      <c r="I6" s="6"/>
      <c r="J6" s="6"/>
    </row>
    <row r="7" spans="1:13" ht="25.5" customHeight="1" x14ac:dyDescent="0.2">
      <c r="A7" s="279" t="s">
        <v>104</v>
      </c>
      <c r="B7" s="279"/>
      <c r="C7" s="279"/>
      <c r="D7" s="279"/>
      <c r="E7" s="279"/>
      <c r="F7" s="279"/>
      <c r="G7" s="279"/>
      <c r="H7" s="69"/>
      <c r="I7" s="69"/>
    </row>
    <row r="8" spans="1:13" ht="21.75" customHeight="1" x14ac:dyDescent="0.2">
      <c r="A8" s="70" t="s">
        <v>69</v>
      </c>
      <c r="B8" s="70" t="s">
        <v>105</v>
      </c>
      <c r="C8" s="70" t="s">
        <v>106</v>
      </c>
      <c r="D8" s="70" t="s">
        <v>107</v>
      </c>
      <c r="E8" s="70" t="s">
        <v>108</v>
      </c>
      <c r="F8" s="70" t="s">
        <v>109</v>
      </c>
      <c r="G8" s="71" t="s">
        <v>110</v>
      </c>
      <c r="H8" s="72"/>
      <c r="I8" s="72"/>
    </row>
    <row r="9" spans="1:13" ht="21.75" customHeight="1" x14ac:dyDescent="0.2">
      <c r="A9" s="73" t="s">
        <v>73</v>
      </c>
      <c r="B9" s="203">
        <f>ASSUMPTIONS!C5</f>
        <v>0.41</v>
      </c>
      <c r="C9" s="203">
        <v>0.36899999999999999</v>
      </c>
      <c r="D9" s="203">
        <v>0.33200000000000002</v>
      </c>
      <c r="E9" s="203">
        <v>0.29899999999999999</v>
      </c>
      <c r="F9" s="203">
        <v>0.26900000000000002</v>
      </c>
      <c r="G9" s="76" t="s">
        <v>266</v>
      </c>
    </row>
    <row r="10" spans="1:13" ht="21.75" customHeight="1" x14ac:dyDescent="0.2">
      <c r="A10" s="77" t="s">
        <v>74</v>
      </c>
      <c r="B10" s="203">
        <v>0.45300000000000001</v>
      </c>
      <c r="C10" s="203">
        <v>0.46800000000000003</v>
      </c>
      <c r="D10" s="203">
        <v>0.48299999999999998</v>
      </c>
      <c r="E10" s="203">
        <v>0.498</v>
      </c>
      <c r="F10" s="203">
        <v>0.51300000000000001</v>
      </c>
      <c r="G10" s="217" t="s">
        <v>265</v>
      </c>
      <c r="H10" s="220"/>
      <c r="I10" s="219"/>
      <c r="J10" s="219"/>
      <c r="K10" s="219"/>
      <c r="L10" s="196"/>
      <c r="M10" s="196"/>
    </row>
    <row r="11" spans="1:13" ht="21.75" customHeight="1" x14ac:dyDescent="0.2">
      <c r="A11" s="73" t="s">
        <v>75</v>
      </c>
      <c r="B11" s="203">
        <f>ASSUMPTIONS!C7</f>
        <v>0.13500000000000001</v>
      </c>
      <c r="C11" s="203">
        <v>0.15000000000000002</v>
      </c>
      <c r="D11" s="203">
        <v>0.16500000000000004</v>
      </c>
      <c r="E11" s="204">
        <v>0.18000000000000005</v>
      </c>
      <c r="F11" s="205">
        <v>0.19500000000000006</v>
      </c>
      <c r="G11" s="218" t="s">
        <v>268</v>
      </c>
      <c r="H11" s="221"/>
      <c r="I11" s="196"/>
      <c r="J11" s="196"/>
      <c r="K11" s="196"/>
      <c r="L11" s="196"/>
      <c r="M11" s="196"/>
    </row>
    <row r="12" spans="1:13" ht="21.75" customHeight="1" x14ac:dyDescent="0.2">
      <c r="A12" s="77" t="s">
        <v>76</v>
      </c>
      <c r="B12" s="206">
        <f>ASSUMPTIONS!C8</f>
        <v>1.2E-2</v>
      </c>
      <c r="C12" s="206">
        <v>1.2500000000000001E-2</v>
      </c>
      <c r="D12" s="206">
        <v>1.2999999999999999E-2</v>
      </c>
      <c r="E12" s="207">
        <v>1.2999999999999999E-2</v>
      </c>
      <c r="F12" s="208">
        <v>1.35E-2</v>
      </c>
      <c r="G12" s="217" t="s">
        <v>270</v>
      </c>
      <c r="H12" s="221"/>
      <c r="I12" s="196"/>
      <c r="J12" s="196"/>
      <c r="K12" s="196"/>
      <c r="L12" s="196"/>
      <c r="M12" s="196"/>
    </row>
    <row r="13" spans="1:13" ht="21.75" customHeight="1" x14ac:dyDescent="0.2">
      <c r="A13" s="73" t="s">
        <v>77</v>
      </c>
      <c r="B13" s="81">
        <f>ASSUMPTIONS!C9</f>
        <v>0.25</v>
      </c>
      <c r="C13" s="81">
        <v>0.25</v>
      </c>
      <c r="D13" s="81">
        <v>0.25</v>
      </c>
      <c r="E13" s="81">
        <v>0.25</v>
      </c>
      <c r="F13" s="81">
        <v>0.25</v>
      </c>
      <c r="G13" s="218" t="s">
        <v>272</v>
      </c>
      <c r="H13" s="221"/>
      <c r="I13" s="200"/>
      <c r="J13" s="200"/>
      <c r="K13" s="200"/>
      <c r="L13" s="200"/>
      <c r="M13" s="200"/>
    </row>
    <row r="14" spans="1:13" ht="21.75" customHeight="1" x14ac:dyDescent="0.2">
      <c r="A14" s="77" t="s">
        <v>78</v>
      </c>
      <c r="B14" s="215">
        <v>0.09</v>
      </c>
      <c r="C14" s="215">
        <v>0.08</v>
      </c>
      <c r="D14" s="215">
        <v>7.0000000000000007E-2</v>
      </c>
      <c r="E14" s="215">
        <v>6.3E-2</v>
      </c>
      <c r="F14" s="216">
        <v>5.5E-2</v>
      </c>
      <c r="G14" s="80" t="s">
        <v>275</v>
      </c>
    </row>
    <row r="15" spans="1:13" ht="21.75" customHeight="1" x14ac:dyDescent="0.2">
      <c r="A15" s="73" t="s">
        <v>111</v>
      </c>
      <c r="B15" s="74">
        <v>36</v>
      </c>
      <c r="C15" s="74">
        <v>36</v>
      </c>
      <c r="D15" s="74">
        <v>36</v>
      </c>
      <c r="E15" s="74">
        <v>36</v>
      </c>
      <c r="F15" s="74">
        <v>36</v>
      </c>
      <c r="G15" s="76" t="s">
        <v>283</v>
      </c>
    </row>
    <row r="16" spans="1:13" ht="21.75" customHeight="1" x14ac:dyDescent="0.2">
      <c r="A16" s="77" t="s">
        <v>112</v>
      </c>
      <c r="B16" s="78">
        <v>75</v>
      </c>
      <c r="C16" s="78">
        <v>75</v>
      </c>
      <c r="D16" s="78">
        <v>75</v>
      </c>
      <c r="E16" s="78">
        <v>75</v>
      </c>
      <c r="F16" s="79">
        <v>75</v>
      </c>
      <c r="G16" s="80" t="s">
        <v>284</v>
      </c>
    </row>
    <row r="17" spans="1:12" ht="21.75" customHeight="1" x14ac:dyDescent="0.2">
      <c r="A17" s="73" t="s">
        <v>82</v>
      </c>
      <c r="B17" s="74">
        <v>50</v>
      </c>
      <c r="C17" s="74">
        <v>50</v>
      </c>
      <c r="D17" s="74">
        <v>50</v>
      </c>
      <c r="E17" s="78">
        <v>50</v>
      </c>
      <c r="F17" s="75">
        <v>50</v>
      </c>
      <c r="G17" s="76" t="s">
        <v>285</v>
      </c>
    </row>
    <row r="18" spans="1:12" ht="9.75" customHeight="1" x14ac:dyDescent="0.2">
      <c r="A18" s="6"/>
      <c r="B18" s="6"/>
      <c r="C18" s="6"/>
      <c r="D18" s="6"/>
      <c r="E18" s="6"/>
      <c r="F18" s="6"/>
      <c r="G18" s="6"/>
      <c r="H18" s="6"/>
      <c r="I18" s="6"/>
      <c r="J18" s="6"/>
    </row>
    <row r="19" spans="1:12" ht="25.5" customHeight="1" x14ac:dyDescent="0.2">
      <c r="A19" s="279" t="s">
        <v>113</v>
      </c>
      <c r="B19" s="279"/>
      <c r="C19" s="279"/>
      <c r="D19" s="279"/>
      <c r="E19" s="279"/>
      <c r="F19" s="279"/>
      <c r="G19" s="279"/>
      <c r="H19" s="69"/>
      <c r="I19" s="69"/>
    </row>
    <row r="20" spans="1:12" ht="21.75" customHeight="1" x14ac:dyDescent="0.2">
      <c r="A20" s="70" t="s">
        <v>27</v>
      </c>
      <c r="B20" s="70" t="s">
        <v>28</v>
      </c>
      <c r="C20" s="70" t="s">
        <v>29</v>
      </c>
      <c r="D20" s="70" t="s">
        <v>30</v>
      </c>
      <c r="E20" s="70" t="s">
        <v>105</v>
      </c>
      <c r="F20" s="70" t="s">
        <v>106</v>
      </c>
      <c r="G20" s="70" t="s">
        <v>107</v>
      </c>
      <c r="H20" s="70" t="s">
        <v>108</v>
      </c>
      <c r="I20" s="70" t="s">
        <v>109</v>
      </c>
    </row>
    <row r="21" spans="1:12" ht="19.5" customHeight="1" x14ac:dyDescent="0.2">
      <c r="A21" s="82" t="s">
        <v>31</v>
      </c>
      <c r="B21" s="83">
        <v>112</v>
      </c>
      <c r="C21" s="83">
        <v>163</v>
      </c>
      <c r="D21" s="83">
        <v>224</v>
      </c>
      <c r="E21" s="83">
        <f>D21*(1+B9)</f>
        <v>315.83999999999997</v>
      </c>
      <c r="F21" s="83">
        <f>E21*(1+C9)</f>
        <v>432.38495999999998</v>
      </c>
      <c r="G21" s="83">
        <f t="shared" ref="G21:I21" si="0">F21*(1+D9)</f>
        <v>575.93676672000004</v>
      </c>
      <c r="H21" s="83">
        <f t="shared" si="0"/>
        <v>748.14185996928006</v>
      </c>
      <c r="I21" s="83">
        <f t="shared" si="0"/>
        <v>949.39202030101649</v>
      </c>
    </row>
    <row r="22" spans="1:12" ht="19.5" customHeight="1" x14ac:dyDescent="0.2">
      <c r="A22" s="85" t="s">
        <v>32</v>
      </c>
      <c r="B22" s="86">
        <v>-67.2</v>
      </c>
      <c r="C22" s="86">
        <v>-95.4</v>
      </c>
      <c r="D22" s="86">
        <v>-126</v>
      </c>
      <c r="E22" s="87">
        <f>-(E21*(1-B10))</f>
        <v>-172.76447999999996</v>
      </c>
      <c r="F22" s="87">
        <f t="shared" ref="F22:I22" si="1">-(F21*(1-C10))</f>
        <v>-230.02879872</v>
      </c>
      <c r="G22" s="87">
        <f t="shared" si="1"/>
        <v>-297.75930839424001</v>
      </c>
      <c r="H22" s="87">
        <f t="shared" si="1"/>
        <v>-375.56721370457859</v>
      </c>
      <c r="I22" s="87">
        <f t="shared" si="1"/>
        <v>-462.35391388659502</v>
      </c>
    </row>
    <row r="23" spans="1:12" ht="19.5" customHeight="1" x14ac:dyDescent="0.2">
      <c r="A23" s="82" t="s">
        <v>33</v>
      </c>
      <c r="B23" s="83">
        <v>44.8</v>
      </c>
      <c r="C23" s="83">
        <v>67.599999999999994</v>
      </c>
      <c r="D23" s="83">
        <v>98</v>
      </c>
      <c r="E23" s="84">
        <f>E21+E22</f>
        <v>143.07552000000001</v>
      </c>
      <c r="F23" s="84">
        <f t="shared" ref="F23:I23" si="2">F21+F22</f>
        <v>202.35616127999998</v>
      </c>
      <c r="G23" s="84">
        <f t="shared" si="2"/>
        <v>278.17745832576003</v>
      </c>
      <c r="H23" s="84">
        <f t="shared" si="2"/>
        <v>372.57464626470147</v>
      </c>
      <c r="I23" s="84">
        <f t="shared" si="2"/>
        <v>487.03810641442146</v>
      </c>
    </row>
    <row r="24" spans="1:12" ht="19.5" customHeight="1" x14ac:dyDescent="0.2">
      <c r="A24" s="85" t="s">
        <v>34</v>
      </c>
      <c r="B24" s="30">
        <v>0.4</v>
      </c>
      <c r="C24" s="30">
        <v>0.41499999999999998</v>
      </c>
      <c r="D24" s="30">
        <v>0.438</v>
      </c>
      <c r="E24" s="30">
        <f>E23/E21</f>
        <v>0.45300000000000007</v>
      </c>
      <c r="F24" s="30">
        <f>F23/F21</f>
        <v>0.46799999999999997</v>
      </c>
      <c r="G24" s="30">
        <f t="shared" ref="G24:I24" si="3">G23/G21</f>
        <v>0.48300000000000004</v>
      </c>
      <c r="H24" s="30">
        <f t="shared" si="3"/>
        <v>0.498</v>
      </c>
      <c r="I24" s="30">
        <f t="shared" si="3"/>
        <v>0.51300000000000001</v>
      </c>
    </row>
    <row r="25" spans="1:12" ht="19.5" customHeight="1" x14ac:dyDescent="0.2">
      <c r="A25" s="89" t="s">
        <v>35</v>
      </c>
      <c r="B25" s="90">
        <v>8.4</v>
      </c>
      <c r="C25" s="90">
        <v>16.3</v>
      </c>
      <c r="D25" s="90">
        <v>26.9</v>
      </c>
      <c r="E25" s="91">
        <f>E21*E26</f>
        <v>42.638399999999997</v>
      </c>
      <c r="F25" s="91">
        <f>F21*F26</f>
        <v>64.857744000000011</v>
      </c>
      <c r="G25" s="91">
        <f>G21*G26</f>
        <v>95.029566508800031</v>
      </c>
      <c r="H25" s="91">
        <f>H21*H26</f>
        <v>134.66553479447046</v>
      </c>
      <c r="I25" s="91">
        <f>I21*I26</f>
        <v>185.13144395869827</v>
      </c>
    </row>
    <row r="26" spans="1:12" ht="19.5" customHeight="1" x14ac:dyDescent="0.2">
      <c r="A26" s="92" t="s">
        <v>36</v>
      </c>
      <c r="B26" s="30">
        <v>7.4999999999999997E-2</v>
      </c>
      <c r="C26" s="30">
        <v>0.1</v>
      </c>
      <c r="D26" s="30">
        <v>0.12</v>
      </c>
      <c r="E26" s="30">
        <f>ASSUMPTIONS!C7</f>
        <v>0.13500000000000001</v>
      </c>
      <c r="F26" s="30">
        <f>E26+1.5%</f>
        <v>0.15000000000000002</v>
      </c>
      <c r="G26" s="30">
        <f t="shared" ref="G26:I26" si="4">F26+1.5%</f>
        <v>0.16500000000000004</v>
      </c>
      <c r="H26" s="30">
        <f t="shared" si="4"/>
        <v>0.18000000000000005</v>
      </c>
      <c r="I26" s="30">
        <f t="shared" si="4"/>
        <v>0.19500000000000006</v>
      </c>
    </row>
    <row r="27" spans="1:12" ht="19.5" customHeight="1" x14ac:dyDescent="0.2">
      <c r="A27" s="92" t="s">
        <v>37</v>
      </c>
      <c r="B27" s="93">
        <v>-1.2</v>
      </c>
      <c r="C27" s="93">
        <v>-1.7</v>
      </c>
      <c r="D27" s="93">
        <v>-2.6</v>
      </c>
      <c r="E27" s="94">
        <f>-(E21*B12)</f>
        <v>-3.7900799999999997</v>
      </c>
      <c r="F27" s="94">
        <f t="shared" ref="F27:I27" si="5">-(F21*C12)</f>
        <v>-5.4048119999999997</v>
      </c>
      <c r="G27" s="94">
        <f t="shared" si="5"/>
        <v>-7.4871779673600001</v>
      </c>
      <c r="H27" s="94">
        <f t="shared" si="5"/>
        <v>-9.7258441796006405</v>
      </c>
      <c r="I27" s="94">
        <f t="shared" si="5"/>
        <v>-12.816792274063722</v>
      </c>
    </row>
    <row r="28" spans="1:12" ht="19.5" customHeight="1" x14ac:dyDescent="0.2">
      <c r="A28" s="95" t="s">
        <v>38</v>
      </c>
      <c r="B28" s="90">
        <v>7.2</v>
      </c>
      <c r="C28" s="90">
        <v>14.6</v>
      </c>
      <c r="D28" s="90">
        <v>24.3</v>
      </c>
      <c r="E28" s="91">
        <f>E25+E27</f>
        <v>38.848320000000001</v>
      </c>
      <c r="F28" s="91">
        <f t="shared" ref="F28:I28" si="6">F25+F27</f>
        <v>59.452932000000011</v>
      </c>
      <c r="G28" s="91">
        <f t="shared" si="6"/>
        <v>87.542388541440033</v>
      </c>
      <c r="H28" s="91">
        <f t="shared" si="6"/>
        <v>124.93969061486982</v>
      </c>
      <c r="I28" s="91">
        <f t="shared" si="6"/>
        <v>172.31465168463455</v>
      </c>
    </row>
    <row r="29" spans="1:12" ht="19.5" customHeight="1" x14ac:dyDescent="0.2">
      <c r="A29" s="212" t="s">
        <v>273</v>
      </c>
      <c r="B29" s="213">
        <v>0.3</v>
      </c>
      <c r="C29" s="213">
        <v>0.4</v>
      </c>
      <c r="D29" s="213">
        <v>0.5</v>
      </c>
      <c r="E29" s="213">
        <f>D29+0.1</f>
        <v>0.6</v>
      </c>
      <c r="F29" s="213">
        <f t="shared" ref="F29:I29" si="7">E29+0.1</f>
        <v>0.7</v>
      </c>
      <c r="G29" s="213">
        <f t="shared" si="7"/>
        <v>0.79999999999999993</v>
      </c>
      <c r="H29" s="213">
        <f t="shared" si="7"/>
        <v>0.89999999999999991</v>
      </c>
      <c r="I29" s="213">
        <f t="shared" si="7"/>
        <v>0.99999999999999989</v>
      </c>
    </row>
    <row r="30" spans="1:12" ht="19.5" customHeight="1" x14ac:dyDescent="0.2">
      <c r="A30" s="96" t="s">
        <v>39</v>
      </c>
      <c r="B30" s="93">
        <v>-1.8</v>
      </c>
      <c r="C30" s="93">
        <v>-2.5</v>
      </c>
      <c r="D30" s="93">
        <v>-3.2</v>
      </c>
      <c r="E30" s="93">
        <f>-(E21*ASSUMPTIONS!C16)</f>
        <v>-1.2633599999999998</v>
      </c>
      <c r="F30" s="93">
        <f>-(F21*0.35%)</f>
        <v>-1.5133473599999998</v>
      </c>
      <c r="G30" s="93">
        <f>-(G21*0.3%)</f>
        <v>-1.7278103001600003</v>
      </c>
      <c r="H30" s="93">
        <f>-(H21*0.25%)</f>
        <v>-1.8703546499232002</v>
      </c>
      <c r="I30" s="93">
        <f>-(I21*0.2%)</f>
        <v>-1.8987840406020331</v>
      </c>
    </row>
    <row r="31" spans="1:12" ht="19.5" customHeight="1" x14ac:dyDescent="0.2">
      <c r="A31" s="95" t="s">
        <v>40</v>
      </c>
      <c r="B31" s="90">
        <v>5.7</v>
      </c>
      <c r="C31" s="90">
        <v>12.5</v>
      </c>
      <c r="D31" s="90">
        <v>21.6</v>
      </c>
      <c r="E31" s="91">
        <f>SUM(E28:E30)</f>
        <v>38.184960000000004</v>
      </c>
      <c r="F31" s="91">
        <f t="shared" ref="F31:I31" si="8">SUM(F28:F30)</f>
        <v>58.639584640000017</v>
      </c>
      <c r="G31" s="91">
        <f t="shared" si="8"/>
        <v>86.614578241280029</v>
      </c>
      <c r="H31" s="91">
        <f t="shared" si="8"/>
        <v>123.96933596494662</v>
      </c>
      <c r="I31" s="91">
        <f t="shared" si="8"/>
        <v>171.41586764403252</v>
      </c>
      <c r="J31" s="210"/>
      <c r="K31" s="210"/>
      <c r="L31" s="210"/>
    </row>
    <row r="32" spans="1:12" ht="19.5" customHeight="1" x14ac:dyDescent="0.2">
      <c r="A32" s="96" t="s">
        <v>114</v>
      </c>
      <c r="B32" s="93">
        <v>-3.6</v>
      </c>
      <c r="C32" s="93">
        <v>-6</v>
      </c>
      <c r="D32" s="93">
        <v>-8.1999999999999993</v>
      </c>
      <c r="E32" s="94">
        <f>-(E31*25%)</f>
        <v>-9.5462400000000009</v>
      </c>
      <c r="F32" s="94">
        <f>-(F31*25%)</f>
        <v>-14.659896160000004</v>
      </c>
      <c r="G32" s="94">
        <f t="shared" ref="G32:I32" si="9">-(G31*25%)</f>
        <v>-21.653644560320007</v>
      </c>
      <c r="H32" s="94">
        <f t="shared" si="9"/>
        <v>-30.992333991236656</v>
      </c>
      <c r="I32" s="94">
        <f t="shared" si="9"/>
        <v>-42.853966911008129</v>
      </c>
    </row>
    <row r="33" spans="1:10" ht="19.5" customHeight="1" x14ac:dyDescent="0.2">
      <c r="A33" s="95" t="s">
        <v>42</v>
      </c>
      <c r="B33" s="90">
        <v>2.1</v>
      </c>
      <c r="C33" s="90">
        <v>6.5</v>
      </c>
      <c r="D33" s="90">
        <v>13.4</v>
      </c>
      <c r="E33" s="91">
        <f>E31+E32</f>
        <v>28.638720000000003</v>
      </c>
      <c r="F33" s="91">
        <f>F31+F32</f>
        <v>43.979688480000014</v>
      </c>
      <c r="G33" s="91">
        <f t="shared" ref="G33:I33" si="10">G31+G32</f>
        <v>64.960933680960025</v>
      </c>
      <c r="H33" s="91">
        <f t="shared" si="10"/>
        <v>92.977001973709974</v>
      </c>
      <c r="I33" s="91">
        <f t="shared" si="10"/>
        <v>128.5619007330244</v>
      </c>
    </row>
    <row r="34" spans="1:10" ht="19.5" customHeight="1" x14ac:dyDescent="0.2">
      <c r="A34" s="96" t="s">
        <v>43</v>
      </c>
      <c r="B34" s="30">
        <f>B33/B21</f>
        <v>1.8749999999999999E-2</v>
      </c>
      <c r="C34" s="30">
        <f>C33/C21</f>
        <v>3.9877300613496931E-2</v>
      </c>
      <c r="D34" s="30">
        <f>D33/D21</f>
        <v>5.9821428571428574E-2</v>
      </c>
      <c r="E34" s="30">
        <f>E33/E21</f>
        <v>9.0674772036474185E-2</v>
      </c>
      <c r="F34" s="30">
        <f t="shared" ref="F34:I34" si="11">F33/F21</f>
        <v>0.10171419579441435</v>
      </c>
      <c r="G34" s="30">
        <f t="shared" si="11"/>
        <v>0.11279178103338855</v>
      </c>
      <c r="H34" s="30">
        <f t="shared" si="11"/>
        <v>0.12427723530605247</v>
      </c>
      <c r="I34" s="30">
        <f t="shared" si="11"/>
        <v>0.13541497925405171</v>
      </c>
    </row>
    <row r="35" spans="1:10" ht="9.75" customHeight="1" x14ac:dyDescent="0.2">
      <c r="A35" s="6"/>
      <c r="B35" s="6"/>
      <c r="C35" s="6"/>
      <c r="D35" s="6"/>
      <c r="E35" s="6"/>
      <c r="F35" s="6"/>
      <c r="G35" s="6"/>
      <c r="H35" s="6"/>
      <c r="I35" s="6"/>
      <c r="J35" s="6"/>
    </row>
    <row r="36" spans="1:10" ht="25.5" customHeight="1" x14ac:dyDescent="0.2">
      <c r="A36" s="69" t="s">
        <v>115</v>
      </c>
      <c r="B36" s="69"/>
      <c r="C36" s="69"/>
      <c r="D36" s="69"/>
      <c r="E36" s="69"/>
      <c r="F36" s="69"/>
      <c r="G36" s="69"/>
      <c r="H36" s="69"/>
      <c r="I36" s="69"/>
    </row>
    <row r="37" spans="1:10" ht="21.75" customHeight="1" x14ac:dyDescent="0.2">
      <c r="A37" s="98" t="s">
        <v>27</v>
      </c>
      <c r="B37" s="99" t="s">
        <v>28</v>
      </c>
      <c r="C37" s="99" t="s">
        <v>29</v>
      </c>
      <c r="D37" s="99" t="s">
        <v>30</v>
      </c>
      <c r="E37" s="99" t="s">
        <v>105</v>
      </c>
      <c r="F37" s="99" t="s">
        <v>106</v>
      </c>
      <c r="G37" s="99" t="s">
        <v>107</v>
      </c>
      <c r="H37" s="99" t="s">
        <v>108</v>
      </c>
      <c r="I37" s="100" t="s">
        <v>109</v>
      </c>
    </row>
    <row r="38" spans="1:10" ht="24" customHeight="1" x14ac:dyDescent="0.2">
      <c r="A38" s="101" t="s">
        <v>116</v>
      </c>
      <c r="B38" s="102">
        <v>18</v>
      </c>
      <c r="C38" s="102">
        <v>24</v>
      </c>
      <c r="D38" s="102">
        <v>31</v>
      </c>
      <c r="E38" s="102">
        <f>E21*B17/365</f>
        <v>43.265753424657532</v>
      </c>
      <c r="F38" s="102">
        <f t="shared" ref="F38:I38" si="12">F21*C17/365</f>
        <v>59.230816438356165</v>
      </c>
      <c r="G38" s="102">
        <f t="shared" si="12"/>
        <v>78.895447495890409</v>
      </c>
      <c r="H38" s="102">
        <f t="shared" si="12"/>
        <v>102.48518629716165</v>
      </c>
      <c r="I38" s="102">
        <f t="shared" si="12"/>
        <v>130.05370141109813</v>
      </c>
      <c r="J38" s="103" t="s">
        <v>117</v>
      </c>
    </row>
    <row r="39" spans="1:10" ht="24" customHeight="1" x14ac:dyDescent="0.2">
      <c r="A39" s="104" t="s">
        <v>118</v>
      </c>
      <c r="B39" s="105">
        <v>12</v>
      </c>
      <c r="C39" s="105">
        <v>16.5</v>
      </c>
      <c r="D39" s="105">
        <v>22</v>
      </c>
      <c r="E39" s="105">
        <f>E21*B15/365</f>
        <v>31.151342465753423</v>
      </c>
      <c r="F39" s="105">
        <f t="shared" ref="F39:I39" si="13">F21*C15/365</f>
        <v>42.646187835616438</v>
      </c>
      <c r="G39" s="105">
        <f t="shared" si="13"/>
        <v>56.804722197041102</v>
      </c>
      <c r="H39" s="105">
        <f t="shared" si="13"/>
        <v>73.789334133956388</v>
      </c>
      <c r="I39" s="105">
        <f t="shared" si="13"/>
        <v>93.638665015990654</v>
      </c>
      <c r="J39" s="103" t="s">
        <v>119</v>
      </c>
    </row>
    <row r="40" spans="1:10" ht="24" customHeight="1" x14ac:dyDescent="0.2">
      <c r="A40" s="101" t="s">
        <v>120</v>
      </c>
      <c r="B40" s="102">
        <v>15</v>
      </c>
      <c r="C40" s="102">
        <v>19</v>
      </c>
      <c r="D40" s="102">
        <v>26</v>
      </c>
      <c r="E40" s="102">
        <f>ABS(E22*B16/365)</f>
        <v>35.499550684931499</v>
      </c>
      <c r="F40" s="102">
        <f t="shared" ref="F40:I40" si="14">ABS(F22*C16/365)</f>
        <v>47.266191517808217</v>
      </c>
      <c r="G40" s="102">
        <f t="shared" si="14"/>
        <v>61.183419533063017</v>
      </c>
      <c r="H40" s="102">
        <f t="shared" si="14"/>
        <v>77.171345281762726</v>
      </c>
      <c r="I40" s="102">
        <f t="shared" si="14"/>
        <v>95.00422888080719</v>
      </c>
      <c r="J40" s="103" t="s">
        <v>121</v>
      </c>
    </row>
    <row r="41" spans="1:10" ht="24" customHeight="1" x14ac:dyDescent="0.2">
      <c r="A41" s="106" t="s">
        <v>122</v>
      </c>
      <c r="B41" s="107">
        <v>15</v>
      </c>
      <c r="C41" s="107">
        <v>21.5</v>
      </c>
      <c r="D41" s="107">
        <v>27</v>
      </c>
      <c r="E41" s="107">
        <f>E38+E39-E40</f>
        <v>38.917545205479463</v>
      </c>
      <c r="F41" s="107">
        <f t="shared" ref="F41:I41" si="15">F38+F39-F40</f>
        <v>54.610812756164385</v>
      </c>
      <c r="G41" s="107">
        <f t="shared" si="15"/>
        <v>74.516750159868508</v>
      </c>
      <c r="H41" s="107">
        <f t="shared" si="15"/>
        <v>99.103175149355323</v>
      </c>
      <c r="I41" s="107">
        <f t="shared" si="15"/>
        <v>128.68813754628161</v>
      </c>
      <c r="J41" s="103" t="s">
        <v>123</v>
      </c>
    </row>
    <row r="42" spans="1:10" ht="24" customHeight="1" x14ac:dyDescent="0.2">
      <c r="A42" s="108" t="s">
        <v>124</v>
      </c>
      <c r="B42" s="109" t="s">
        <v>125</v>
      </c>
      <c r="C42" s="110">
        <v>6.5</v>
      </c>
      <c r="D42" s="110">
        <v>5.5</v>
      </c>
      <c r="E42" s="110">
        <v>11.885095890410966</v>
      </c>
      <c r="F42" s="110">
        <v>11.885095890410966</v>
      </c>
      <c r="G42" s="110">
        <v>11.885095890410966</v>
      </c>
      <c r="H42" s="110">
        <v>11.885095890410966</v>
      </c>
      <c r="I42" s="110">
        <v>11.885095890410966</v>
      </c>
      <c r="J42" s="103" t="s">
        <v>126</v>
      </c>
    </row>
    <row r="43" spans="1:10" ht="9.75" customHeight="1" x14ac:dyDescent="0.2">
      <c r="A43" s="6"/>
      <c r="B43" s="6"/>
      <c r="C43" s="6"/>
      <c r="D43" s="6"/>
      <c r="E43" s="6"/>
      <c r="F43" s="6"/>
      <c r="G43" s="6"/>
      <c r="H43" s="6"/>
      <c r="I43" s="6"/>
      <c r="J43" s="6"/>
    </row>
    <row r="44" spans="1:10" ht="25.5" customHeight="1" x14ac:dyDescent="0.2">
      <c r="A44" s="69" t="s">
        <v>127</v>
      </c>
      <c r="B44" s="69"/>
      <c r="C44" s="69"/>
      <c r="D44" s="69"/>
      <c r="E44" s="69"/>
      <c r="F44" s="69"/>
      <c r="G44" s="69"/>
      <c r="H44" s="69"/>
      <c r="I44" s="69"/>
      <c r="J44" s="209"/>
    </row>
    <row r="45" spans="1:10" ht="21.75" customHeight="1" x14ac:dyDescent="0.2">
      <c r="A45" s="111" t="s">
        <v>128</v>
      </c>
      <c r="B45" s="111" t="s">
        <v>28</v>
      </c>
      <c r="C45" s="111" t="s">
        <v>29</v>
      </c>
      <c r="D45" s="111" t="s">
        <v>30</v>
      </c>
      <c r="E45" s="111" t="s">
        <v>105</v>
      </c>
      <c r="F45" s="111" t="s">
        <v>106</v>
      </c>
      <c r="G45" s="111" t="s">
        <v>107</v>
      </c>
      <c r="H45" s="111" t="s">
        <v>108</v>
      </c>
      <c r="I45" s="111" t="s">
        <v>109</v>
      </c>
    </row>
    <row r="46" spans="1:10" ht="19.5" customHeight="1" x14ac:dyDescent="0.2">
      <c r="A46" s="112" t="s">
        <v>129</v>
      </c>
      <c r="B46" s="113">
        <v>-1.8</v>
      </c>
      <c r="C46" s="113">
        <v>-2.5</v>
      </c>
      <c r="D46" s="113">
        <v>-3.2</v>
      </c>
      <c r="E46" s="211">
        <f>E30</f>
        <v>-1.2633599999999998</v>
      </c>
      <c r="F46" s="211">
        <f>F30</f>
        <v>-1.5133473599999998</v>
      </c>
      <c r="G46" s="211">
        <f>G30</f>
        <v>-1.7278103001600003</v>
      </c>
      <c r="H46" s="211">
        <f>H30</f>
        <v>-1.8703546499232002</v>
      </c>
      <c r="I46" s="211">
        <f>I30</f>
        <v>-1.8987840406020331</v>
      </c>
    </row>
    <row r="47" spans="1:10" ht="19.5" customHeight="1" x14ac:dyDescent="0.2">
      <c r="A47" s="112"/>
      <c r="B47" s="113"/>
      <c r="C47" s="113"/>
      <c r="D47" s="113"/>
      <c r="E47" s="114"/>
      <c r="F47" s="114"/>
      <c r="G47" s="114"/>
      <c r="H47" s="114"/>
      <c r="I47" s="114"/>
    </row>
    <row r="48" spans="1:10" ht="19.5" customHeight="1" x14ac:dyDescent="0.2">
      <c r="A48" s="112"/>
      <c r="B48" s="113"/>
      <c r="C48" s="113"/>
      <c r="D48" s="113"/>
      <c r="E48" s="114"/>
      <c r="F48" s="114"/>
      <c r="G48" s="114"/>
      <c r="H48" s="114"/>
      <c r="I48" s="114"/>
    </row>
    <row r="49" spans="1:9" ht="9.75" customHeight="1" x14ac:dyDescent="0.2">
      <c r="A49" s="284" t="s">
        <v>66</v>
      </c>
      <c r="B49" s="284"/>
      <c r="C49" s="284"/>
      <c r="D49" s="284"/>
      <c r="E49" s="284"/>
      <c r="F49" s="284"/>
      <c r="G49" s="284"/>
      <c r="H49" s="12"/>
      <c r="I49" s="12"/>
    </row>
  </sheetData>
  <mergeCells count="5">
    <mergeCell ref="A1:G4"/>
    <mergeCell ref="A5:G5"/>
    <mergeCell ref="A7:G7"/>
    <mergeCell ref="A19:G19"/>
    <mergeCell ref="A49:G49"/>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C3AED"/>
  </sheetPr>
  <dimension ref="A1:F65"/>
  <sheetViews>
    <sheetView showGridLines="0" zoomScale="70" zoomScaleNormal="70" workbookViewId="0">
      <pane ySplit="7" topLeftCell="A44" activePane="bottomLeft" state="frozen"/>
      <selection pane="bottomLeft" activeCell="D60" sqref="D60"/>
    </sheetView>
  </sheetViews>
  <sheetFormatPr defaultColWidth="8.609375" defaultRowHeight="15" x14ac:dyDescent="0.2"/>
  <cols>
    <col min="1" max="1" width="49.09765625" customWidth="1"/>
    <col min="2" max="2" width="17.484375" customWidth="1"/>
    <col min="3" max="3" width="42.5078125" customWidth="1"/>
    <col min="4" max="5" width="16.27734375" customWidth="1"/>
    <col min="6" max="6" width="34.16796875" customWidth="1"/>
  </cols>
  <sheetData>
    <row r="1" spans="1:6" ht="39.75" customHeight="1" x14ac:dyDescent="0.2">
      <c r="A1" s="280" t="s">
        <v>130</v>
      </c>
      <c r="B1" s="280"/>
      <c r="C1" s="280"/>
      <c r="D1" s="280"/>
      <c r="E1" s="280"/>
      <c r="F1" s="280"/>
    </row>
    <row r="2" spans="1:6" ht="7.5" customHeight="1" x14ac:dyDescent="0.2">
      <c r="A2" s="280"/>
      <c r="B2" s="280"/>
      <c r="C2" s="280"/>
      <c r="D2" s="280"/>
      <c r="E2" s="280"/>
      <c r="F2" s="280"/>
    </row>
    <row r="3" spans="1:6" ht="7.5" customHeight="1" x14ac:dyDescent="0.2">
      <c r="A3" s="280"/>
      <c r="B3" s="280"/>
      <c r="C3" s="280"/>
      <c r="D3" s="280"/>
      <c r="E3" s="280"/>
      <c r="F3" s="280"/>
    </row>
    <row r="4" spans="1:6" ht="7.5" customHeight="1" x14ac:dyDescent="0.2">
      <c r="A4" s="280"/>
      <c r="B4" s="280"/>
      <c r="C4" s="280"/>
      <c r="D4" s="280"/>
      <c r="E4" s="280"/>
      <c r="F4" s="280"/>
    </row>
    <row r="5" spans="1:6" ht="7.5" customHeight="1" x14ac:dyDescent="0.2">
      <c r="A5" s="1"/>
      <c r="B5" s="1"/>
      <c r="C5" s="1"/>
      <c r="D5" s="1"/>
      <c r="E5" s="1"/>
      <c r="F5" s="1"/>
    </row>
    <row r="6" spans="1:6" ht="25.5" customHeight="1" x14ac:dyDescent="0.2">
      <c r="A6" s="279" t="s">
        <v>131</v>
      </c>
      <c r="B6" s="279"/>
      <c r="C6" s="279"/>
      <c r="D6" s="279"/>
      <c r="E6" s="279"/>
      <c r="F6" s="279"/>
    </row>
    <row r="7" spans="1:6" ht="21.75" customHeight="1" x14ac:dyDescent="0.2">
      <c r="A7" s="70" t="s">
        <v>132</v>
      </c>
      <c r="B7" s="70" t="s">
        <v>133</v>
      </c>
      <c r="C7" s="70" t="s">
        <v>134</v>
      </c>
      <c r="D7" s="70"/>
      <c r="E7" s="70"/>
      <c r="F7" s="70"/>
    </row>
    <row r="8" spans="1:6" ht="21.75" customHeight="1" x14ac:dyDescent="0.2">
      <c r="A8" s="115" t="s">
        <v>135</v>
      </c>
      <c r="B8" s="222">
        <f>ASSUMPTIONS!C18</f>
        <v>6.8000000000000005E-2</v>
      </c>
      <c r="C8" s="116"/>
      <c r="D8" s="117"/>
      <c r="E8" s="117"/>
      <c r="F8" s="117"/>
    </row>
    <row r="9" spans="1:6" ht="21.75" customHeight="1" x14ac:dyDescent="0.2">
      <c r="A9" s="118" t="s">
        <v>87</v>
      </c>
      <c r="B9" s="222">
        <f>ASSUMPTIONS!C19</f>
        <v>7.0000000000000007E-2</v>
      </c>
      <c r="C9" s="119"/>
      <c r="D9" s="120"/>
      <c r="E9" s="120"/>
      <c r="F9" s="120"/>
    </row>
    <row r="10" spans="1:6" ht="21.75" customHeight="1" x14ac:dyDescent="0.2">
      <c r="A10" s="115" t="s">
        <v>88</v>
      </c>
      <c r="B10" s="223">
        <f>ASSUMPTIONS!C20</f>
        <v>0.75</v>
      </c>
      <c r="C10" s="116"/>
      <c r="D10" s="117"/>
      <c r="E10" s="117"/>
      <c r="F10" s="117"/>
    </row>
    <row r="11" spans="1:6" ht="21.75" customHeight="1" x14ac:dyDescent="0.2">
      <c r="A11" s="77" t="s">
        <v>136</v>
      </c>
      <c r="B11" s="121">
        <f>B8+(B10*B9)</f>
        <v>0.12050000000000001</v>
      </c>
      <c r="C11" s="122" t="s">
        <v>137</v>
      </c>
      <c r="D11" s="123"/>
      <c r="E11" s="123"/>
      <c r="F11" s="123"/>
    </row>
    <row r="12" spans="1:6" ht="21.75" customHeight="1" x14ac:dyDescent="0.2">
      <c r="A12" s="115" t="s">
        <v>138</v>
      </c>
      <c r="B12" s="222">
        <f>ASSUMPTIONS!C21</f>
        <v>7.5999999999999998E-2</v>
      </c>
      <c r="C12" s="116"/>
      <c r="D12" s="117"/>
      <c r="E12" s="117"/>
      <c r="F12" s="117"/>
    </row>
    <row r="13" spans="1:6" ht="21.75" customHeight="1" x14ac:dyDescent="0.2">
      <c r="A13" s="118" t="s">
        <v>139</v>
      </c>
      <c r="B13" s="222">
        <f>ASSUMPTIONS!C9</f>
        <v>0.25</v>
      </c>
      <c r="C13" s="119"/>
      <c r="D13" s="120"/>
      <c r="E13" s="120"/>
      <c r="F13" s="120"/>
    </row>
    <row r="14" spans="1:6" ht="21.75" customHeight="1" x14ac:dyDescent="0.2">
      <c r="A14" s="73" t="s">
        <v>140</v>
      </c>
      <c r="B14" s="124">
        <f>B12*(1-B13)</f>
        <v>5.6999999999999995E-2</v>
      </c>
      <c r="C14" s="116" t="s">
        <v>141</v>
      </c>
      <c r="D14" s="117"/>
      <c r="E14" s="117"/>
      <c r="F14" s="117"/>
    </row>
    <row r="15" spans="1:6" ht="21.75" customHeight="1" x14ac:dyDescent="0.2">
      <c r="A15" s="118" t="s">
        <v>142</v>
      </c>
      <c r="B15" s="226">
        <f>ASSUMPTIONS!C22</f>
        <v>0.1</v>
      </c>
      <c r="C15" s="119" t="s">
        <v>143</v>
      </c>
      <c r="D15" s="120"/>
      <c r="E15" s="120"/>
      <c r="F15" s="120"/>
    </row>
    <row r="16" spans="1:6" ht="21.75" customHeight="1" x14ac:dyDescent="0.2">
      <c r="A16" s="115" t="s">
        <v>144</v>
      </c>
      <c r="B16" s="124">
        <f>1-B15</f>
        <v>0.9</v>
      </c>
      <c r="C16" s="116"/>
      <c r="D16" s="117"/>
      <c r="E16" s="117"/>
      <c r="F16" s="117"/>
    </row>
    <row r="17" spans="1:6" ht="21.75" customHeight="1" x14ac:dyDescent="0.2">
      <c r="A17" s="77" t="s">
        <v>145</v>
      </c>
      <c r="B17" s="121">
        <f>B11*B16+B14*B15</f>
        <v>0.11415</v>
      </c>
      <c r="C17" s="122" t="s">
        <v>146</v>
      </c>
      <c r="D17" s="123"/>
      <c r="E17" s="123"/>
      <c r="F17" s="123"/>
    </row>
    <row r="18" spans="1:6" ht="9.75" customHeight="1" x14ac:dyDescent="0.2">
      <c r="A18" s="6"/>
      <c r="B18" s="6"/>
      <c r="C18" s="6"/>
      <c r="D18" s="6"/>
      <c r="E18" s="6"/>
      <c r="F18" s="6"/>
    </row>
    <row r="19" spans="1:6" ht="25.5" customHeight="1" x14ac:dyDescent="0.2">
      <c r="A19" s="279" t="s">
        <v>147</v>
      </c>
      <c r="B19" s="279"/>
      <c r="C19" s="279"/>
      <c r="D19" s="279"/>
      <c r="E19" s="279"/>
      <c r="F19" s="279"/>
    </row>
    <row r="20" spans="1:6" ht="21.75" customHeight="1" x14ac:dyDescent="0.2">
      <c r="A20" s="70" t="s">
        <v>27</v>
      </c>
      <c r="B20" s="70" t="s">
        <v>105</v>
      </c>
      <c r="C20" s="70" t="s">
        <v>106</v>
      </c>
      <c r="D20" s="70" t="s">
        <v>107</v>
      </c>
      <c r="E20" s="70" t="s">
        <v>108</v>
      </c>
      <c r="F20" s="70" t="s">
        <v>109</v>
      </c>
    </row>
    <row r="21" spans="1:6" ht="21.75" customHeight="1" x14ac:dyDescent="0.2">
      <c r="A21" s="77" t="s">
        <v>148</v>
      </c>
      <c r="B21" s="125">
        <f>PROJECTIONS!E28</f>
        <v>38.848320000000001</v>
      </c>
      <c r="C21" s="125">
        <f>PROJECTIONS!F28</f>
        <v>59.452932000000011</v>
      </c>
      <c r="D21" s="125">
        <f>PROJECTIONS!G28</f>
        <v>87.542388541440033</v>
      </c>
      <c r="E21" s="125">
        <f>PROJECTIONS!H28</f>
        <v>124.93969061486982</v>
      </c>
      <c r="F21" s="125">
        <f>PROJECTIONS!I28</f>
        <v>172.31465168463455</v>
      </c>
    </row>
    <row r="22" spans="1:6" ht="21.75" customHeight="1" x14ac:dyDescent="0.2">
      <c r="A22" s="115" t="s">
        <v>149</v>
      </c>
      <c r="B22" s="224">
        <f>B21*$B$13</f>
        <v>9.7120800000000003</v>
      </c>
      <c r="C22" s="125">
        <f t="shared" ref="C22:F22" si="0">C21*$B$13</f>
        <v>14.863233000000003</v>
      </c>
      <c r="D22" s="125">
        <f t="shared" si="0"/>
        <v>21.885597135360008</v>
      </c>
      <c r="E22" s="125">
        <f t="shared" si="0"/>
        <v>31.234922653717454</v>
      </c>
      <c r="F22" s="125">
        <f t="shared" si="0"/>
        <v>43.078662921158639</v>
      </c>
    </row>
    <row r="23" spans="1:6" ht="21.75" customHeight="1" x14ac:dyDescent="0.2">
      <c r="A23" s="77" t="s">
        <v>150</v>
      </c>
      <c r="B23" s="125">
        <f>B21*(1-$B$13)</f>
        <v>29.136240000000001</v>
      </c>
      <c r="C23" s="125">
        <f t="shared" ref="C23:F23" si="1">C21*(1-$B$13)</f>
        <v>44.58969900000001</v>
      </c>
      <c r="D23" s="125">
        <f t="shared" si="1"/>
        <v>65.656791406080032</v>
      </c>
      <c r="E23" s="125">
        <f t="shared" si="1"/>
        <v>93.704767961152356</v>
      </c>
      <c r="F23" s="125">
        <f t="shared" si="1"/>
        <v>129.23598876347592</v>
      </c>
    </row>
    <row r="24" spans="1:6" ht="21.75" customHeight="1" x14ac:dyDescent="0.2">
      <c r="A24" s="115" t="s">
        <v>151</v>
      </c>
      <c r="B24" s="125">
        <f>-PROJECTIONS!E27</f>
        <v>3.7900799999999997</v>
      </c>
      <c r="C24" s="125">
        <f>-PROJECTIONS!F27</f>
        <v>5.4048119999999997</v>
      </c>
      <c r="D24" s="125">
        <f>-PROJECTIONS!G27</f>
        <v>7.4871779673600001</v>
      </c>
      <c r="E24" s="125">
        <f>-PROJECTIONS!H27</f>
        <v>9.7258441796006405</v>
      </c>
      <c r="F24" s="125">
        <f>-PROJECTIONS!I27</f>
        <v>12.816792274063722</v>
      </c>
    </row>
    <row r="25" spans="1:6" ht="21.75" customHeight="1" x14ac:dyDescent="0.2">
      <c r="A25" s="118" t="s">
        <v>152</v>
      </c>
      <c r="B25" s="125">
        <f>-PROJECTIONS!E21*PROJECTIONS!B14</f>
        <v>-28.425599999999996</v>
      </c>
      <c r="C25" s="125">
        <f>-PROJECTIONS!F21*PROJECTIONS!C14</f>
        <v>-34.5907968</v>
      </c>
      <c r="D25" s="125">
        <f>-PROJECTIONS!G21*PROJECTIONS!D14</f>
        <v>-40.315573670400006</v>
      </c>
      <c r="E25" s="125">
        <f>-PROJECTIONS!H21*PROJECTIONS!E14</f>
        <v>-47.132937178064644</v>
      </c>
      <c r="F25" s="125">
        <f>-PROJECTIONS!I21*PROJECTIONS!F14</f>
        <v>-52.216561116555908</v>
      </c>
    </row>
    <row r="26" spans="1:6" ht="21.75" customHeight="1" x14ac:dyDescent="0.2">
      <c r="A26" s="115" t="s">
        <v>153</v>
      </c>
      <c r="B26" s="224">
        <f>-PROJECTIONS!E42</f>
        <v>-11.885095890410966</v>
      </c>
      <c r="C26" s="224">
        <f>-PROJECTIONS!F42</f>
        <v>-11.885095890410966</v>
      </c>
      <c r="D26" s="224">
        <f>-PROJECTIONS!G42</f>
        <v>-11.885095890410966</v>
      </c>
      <c r="E26" s="224">
        <f>-PROJECTIONS!H42</f>
        <v>-11.885095890410966</v>
      </c>
      <c r="F26" s="224">
        <f>-PROJECTIONS!I42</f>
        <v>-11.885095890410966</v>
      </c>
    </row>
    <row r="27" spans="1:6" ht="21.75" customHeight="1" x14ac:dyDescent="0.2">
      <c r="A27" s="77" t="s">
        <v>154</v>
      </c>
      <c r="B27" s="125">
        <f>B23+B24+B25+B26</f>
        <v>-7.3843758904109578</v>
      </c>
      <c r="C27" s="125">
        <f t="shared" ref="C27:F27" si="2">C23+C24+C25+C26</f>
        <v>3.5186183095890442</v>
      </c>
      <c r="D27" s="125">
        <f t="shared" si="2"/>
        <v>20.943299812629057</v>
      </c>
      <c r="E27" s="125">
        <f t="shared" si="2"/>
        <v>44.412579072277389</v>
      </c>
      <c r="F27" s="125">
        <f t="shared" si="2"/>
        <v>77.951124030572757</v>
      </c>
    </row>
    <row r="28" spans="1:6" ht="21.75" customHeight="1" x14ac:dyDescent="0.2">
      <c r="A28" s="115" t="s">
        <v>155</v>
      </c>
      <c r="B28" s="225">
        <f>1/(1+$B$17)^1</f>
        <v>0.89754521384014718</v>
      </c>
      <c r="C28" s="225">
        <f>1/(1+$B$17)^2</f>
        <v>0.80558741088735553</v>
      </c>
      <c r="D28" s="225">
        <f>1/(1+$B$17)^3</f>
        <v>0.723051124971822</v>
      </c>
      <c r="E28" s="225">
        <f>1/(1+$B$17)^4</f>
        <v>0.64897107658019304</v>
      </c>
      <c r="F28" s="225">
        <f>1/(1+$B$17)^5</f>
        <v>0.58248088370523998</v>
      </c>
    </row>
    <row r="29" spans="1:6" ht="21.75" customHeight="1" x14ac:dyDescent="0.2">
      <c r="A29" s="77" t="s">
        <v>156</v>
      </c>
      <c r="B29" s="125">
        <f>B27*B28</f>
        <v>-6.6278112376349307</v>
      </c>
      <c r="C29" s="125">
        <f t="shared" ref="C29:F29" si="3">C27*C28</f>
        <v>2.8345546139226818</v>
      </c>
      <c r="D29" s="125">
        <f t="shared" si="3"/>
        <v>15.143076490143589</v>
      </c>
      <c r="E29" s="125">
        <f t="shared" si="3"/>
        <v>28.822479254238807</v>
      </c>
      <c r="F29" s="125">
        <f t="shared" si="3"/>
        <v>45.405039611144787</v>
      </c>
    </row>
    <row r="30" spans="1:6" ht="7.5" customHeight="1" x14ac:dyDescent="0.2">
      <c r="A30" s="6"/>
      <c r="B30" s="6"/>
      <c r="C30" s="6"/>
      <c r="D30" s="6"/>
      <c r="E30" s="6"/>
      <c r="F30" s="6"/>
    </row>
    <row r="31" spans="1:6" ht="43.5" customHeight="1" x14ac:dyDescent="0.2">
      <c r="A31" s="304" t="s">
        <v>157</v>
      </c>
      <c r="B31" s="304"/>
      <c r="C31" s="304"/>
      <c r="D31" s="304"/>
      <c r="E31" s="304"/>
      <c r="F31" s="304"/>
    </row>
    <row r="32" spans="1:6" ht="7.5" customHeight="1" x14ac:dyDescent="0.2">
      <c r="A32" s="6"/>
      <c r="B32" s="6"/>
      <c r="C32" s="6"/>
      <c r="D32" s="6"/>
      <c r="E32" s="6"/>
      <c r="F32" s="6"/>
    </row>
    <row r="33" spans="1:6" ht="25.5" customHeight="1" x14ac:dyDescent="0.2">
      <c r="A33" s="279" t="s">
        <v>158</v>
      </c>
      <c r="B33" s="279"/>
      <c r="C33" s="279"/>
      <c r="D33" s="279"/>
      <c r="E33" s="279"/>
      <c r="F33" s="279"/>
    </row>
    <row r="34" spans="1:6" ht="21.75" customHeight="1" x14ac:dyDescent="0.2">
      <c r="A34" s="70" t="s">
        <v>159</v>
      </c>
      <c r="B34" s="70" t="s">
        <v>133</v>
      </c>
      <c r="C34" s="70" t="s">
        <v>134</v>
      </c>
      <c r="D34" s="70"/>
      <c r="E34" s="70"/>
      <c r="F34" s="70"/>
    </row>
    <row r="35" spans="1:6" ht="21.75" customHeight="1" x14ac:dyDescent="0.2">
      <c r="A35" s="118" t="s">
        <v>92</v>
      </c>
      <c r="B35" s="226">
        <f>ASSUMPTIONS!C24</f>
        <v>0.05</v>
      </c>
      <c r="C35" s="119" t="s">
        <v>160</v>
      </c>
      <c r="D35" s="120"/>
      <c r="E35" s="120"/>
      <c r="F35" s="120"/>
    </row>
    <row r="36" spans="1:6" ht="21.75" customHeight="1" x14ac:dyDescent="0.2">
      <c r="A36" s="115" t="s">
        <v>161</v>
      </c>
      <c r="B36" s="126">
        <f>F27</f>
        <v>77.951124030572757</v>
      </c>
      <c r="C36" s="116" t="s">
        <v>162</v>
      </c>
      <c r="D36" s="117"/>
      <c r="E36" s="117"/>
      <c r="F36" s="117"/>
    </row>
    <row r="37" spans="1:6" ht="21.75" customHeight="1" x14ac:dyDescent="0.2">
      <c r="A37" s="77" t="s">
        <v>163</v>
      </c>
      <c r="B37" s="127">
        <f>B36*(1+B35)/(B17-B35)</f>
        <v>1275.8952491364209</v>
      </c>
      <c r="C37" s="122" t="s">
        <v>164</v>
      </c>
      <c r="D37" s="123"/>
      <c r="E37" s="123"/>
      <c r="F37" s="123"/>
    </row>
    <row r="38" spans="1:6" ht="21.75" customHeight="1" x14ac:dyDescent="0.2">
      <c r="A38" s="115" t="s">
        <v>165</v>
      </c>
      <c r="B38" s="128">
        <f>1/(1+B17)^5</f>
        <v>0.58248088370523998</v>
      </c>
      <c r="C38" s="116" t="s">
        <v>166</v>
      </c>
      <c r="D38" s="117"/>
      <c r="E38" s="117"/>
      <c r="F38" s="117"/>
    </row>
    <row r="39" spans="1:6" ht="21.75" customHeight="1" x14ac:dyDescent="0.2">
      <c r="A39" s="77" t="s">
        <v>167</v>
      </c>
      <c r="B39" s="129">
        <f>B37*B38</f>
        <v>743.18459223229979</v>
      </c>
      <c r="C39" s="122" t="s">
        <v>168</v>
      </c>
      <c r="D39" s="123"/>
      <c r="E39" s="123"/>
      <c r="F39" s="123"/>
    </row>
    <row r="40" spans="1:6" ht="7.5" customHeight="1" x14ac:dyDescent="0.2">
      <c r="A40" s="6"/>
      <c r="B40" s="6">
        <f>B41</f>
        <v>0</v>
      </c>
      <c r="C40" s="6"/>
      <c r="D40" s="6"/>
      <c r="E40" s="6"/>
      <c r="F40" s="6"/>
    </row>
    <row r="41" spans="1:6" ht="7.5" customHeight="1" x14ac:dyDescent="0.2">
      <c r="A41" s="6"/>
      <c r="B41" s="6"/>
      <c r="C41" s="6"/>
      <c r="D41" s="6"/>
      <c r="E41" s="6"/>
      <c r="F41" s="6"/>
    </row>
    <row r="42" spans="1:6" ht="25.5" customHeight="1" x14ac:dyDescent="0.2">
      <c r="A42" s="279" t="s">
        <v>169</v>
      </c>
      <c r="B42" s="279"/>
      <c r="C42" s="279"/>
      <c r="D42" s="279"/>
      <c r="E42" s="279"/>
      <c r="F42" s="279"/>
    </row>
    <row r="43" spans="1:6" ht="21.75" customHeight="1" x14ac:dyDescent="0.2">
      <c r="A43" s="70" t="s">
        <v>159</v>
      </c>
      <c r="B43" s="70" t="s">
        <v>27</v>
      </c>
      <c r="C43" s="70" t="s">
        <v>134</v>
      </c>
      <c r="D43" s="70"/>
      <c r="E43" s="70"/>
      <c r="F43" s="70"/>
    </row>
    <row r="44" spans="1:6" ht="21.75" customHeight="1" x14ac:dyDescent="0.2">
      <c r="A44" s="115" t="s">
        <v>170</v>
      </c>
      <c r="B44" s="227">
        <f>SUM(B29:F29)</f>
        <v>85.577338731814933</v>
      </c>
      <c r="C44" s="116" t="s">
        <v>171</v>
      </c>
      <c r="D44" s="117"/>
      <c r="E44" s="117"/>
      <c r="F44" s="117"/>
    </row>
    <row r="45" spans="1:6" ht="21.75" customHeight="1" x14ac:dyDescent="0.2">
      <c r="A45" s="118" t="s">
        <v>172</v>
      </c>
      <c r="B45" s="232">
        <f>B39</f>
        <v>743.18459223229979</v>
      </c>
      <c r="C45" s="119" t="s">
        <v>173</v>
      </c>
      <c r="D45" s="120"/>
      <c r="E45" s="120"/>
      <c r="F45" s="120"/>
    </row>
    <row r="46" spans="1:6" ht="21.75" customHeight="1" x14ac:dyDescent="0.2">
      <c r="A46" s="73" t="s">
        <v>174</v>
      </c>
      <c r="B46" s="228">
        <f>B45+B44</f>
        <v>828.76193096411475</v>
      </c>
      <c r="C46" s="130" t="s">
        <v>175</v>
      </c>
      <c r="D46" s="131"/>
      <c r="E46" s="131"/>
      <c r="F46" s="131"/>
    </row>
    <row r="47" spans="1:6" ht="21.75" customHeight="1" x14ac:dyDescent="0.2">
      <c r="A47" s="118" t="s">
        <v>176</v>
      </c>
      <c r="B47" s="229">
        <f>(HISTORICAL!D35-HISTORICAL!D31)-30</f>
        <v>-16</v>
      </c>
      <c r="C47" s="119" t="s">
        <v>177</v>
      </c>
      <c r="D47" s="120"/>
      <c r="E47" s="120"/>
      <c r="F47" s="120"/>
    </row>
    <row r="48" spans="1:6" ht="21.75" customHeight="1" x14ac:dyDescent="0.2">
      <c r="A48" s="73" t="s">
        <v>178</v>
      </c>
      <c r="B48" s="228">
        <f>B46-B47</f>
        <v>844.76193096411475</v>
      </c>
      <c r="C48" s="130" t="s">
        <v>179</v>
      </c>
      <c r="D48" s="131"/>
      <c r="E48" s="131"/>
      <c r="F48" s="131"/>
    </row>
    <row r="49" spans="1:6" ht="21.75" customHeight="1" x14ac:dyDescent="0.2">
      <c r="A49" s="118" t="s">
        <v>180</v>
      </c>
      <c r="B49" s="132">
        <v>10</v>
      </c>
      <c r="C49" s="119" t="s">
        <v>181</v>
      </c>
      <c r="D49" s="120"/>
      <c r="E49" s="120"/>
      <c r="F49" s="120"/>
    </row>
    <row r="50" spans="1:6" ht="21.75" customHeight="1" x14ac:dyDescent="0.2">
      <c r="A50" s="73" t="s">
        <v>182</v>
      </c>
      <c r="B50" s="231">
        <f>B48/B49</f>
        <v>84.476193096411478</v>
      </c>
      <c r="C50" s="130" t="s">
        <v>183</v>
      </c>
      <c r="D50" s="131"/>
      <c r="E50" s="131"/>
      <c r="F50" s="131"/>
    </row>
    <row r="51" spans="1:6" ht="21.75" customHeight="1" x14ac:dyDescent="0.2">
      <c r="A51" s="133" t="s">
        <v>184</v>
      </c>
      <c r="B51" s="230">
        <f>B50*0.9</f>
        <v>76.028573786770338</v>
      </c>
      <c r="C51" s="134" t="s">
        <v>185</v>
      </c>
      <c r="D51" s="135"/>
      <c r="E51" s="135"/>
      <c r="F51" s="135"/>
    </row>
    <row r="52" spans="1:6" ht="21.75" customHeight="1" x14ac:dyDescent="0.2">
      <c r="A52" s="133" t="s">
        <v>186</v>
      </c>
      <c r="B52" s="230">
        <f>B50*1.1</f>
        <v>92.923812406052633</v>
      </c>
      <c r="C52" s="134" t="s">
        <v>187</v>
      </c>
      <c r="D52" s="135"/>
      <c r="E52" s="135"/>
      <c r="F52" s="135"/>
    </row>
    <row r="53" spans="1:6" ht="7.5" customHeight="1" x14ac:dyDescent="0.2">
      <c r="A53" s="6"/>
      <c r="B53" s="6"/>
      <c r="C53" s="6"/>
      <c r="D53" s="6"/>
      <c r="E53" s="6"/>
      <c r="F53" s="6"/>
    </row>
    <row r="54" spans="1:6" ht="7.5" customHeight="1" x14ac:dyDescent="0.2">
      <c r="A54" s="6"/>
      <c r="B54" s="6"/>
      <c r="C54" s="6"/>
      <c r="D54" s="6"/>
      <c r="E54" s="6"/>
      <c r="F54" s="6"/>
    </row>
    <row r="55" spans="1:6" ht="25.5" customHeight="1" x14ac:dyDescent="0.2">
      <c r="A55" s="279" t="s">
        <v>188</v>
      </c>
      <c r="B55" s="279"/>
      <c r="C55" s="279"/>
      <c r="D55" s="279"/>
      <c r="E55" s="279"/>
      <c r="F55" s="279"/>
    </row>
    <row r="56" spans="1:6" ht="21.75" customHeight="1" x14ac:dyDescent="0.2">
      <c r="A56" s="233">
        <f>B50</f>
        <v>84.476193096411478</v>
      </c>
      <c r="B56" s="136">
        <v>0.03</v>
      </c>
      <c r="C56" s="136">
        <v>0.04</v>
      </c>
      <c r="D56" s="137">
        <v>0.05</v>
      </c>
      <c r="E56" s="136">
        <v>0.06</v>
      </c>
      <c r="F56" s="138"/>
    </row>
    <row r="57" spans="1:6" ht="21.75" customHeight="1" x14ac:dyDescent="0.2">
      <c r="A57" s="136">
        <v>0.08</v>
      </c>
      <c r="B57" s="274">
        <f t="dataTable" ref="B57:E61" dt2D="1" dtr="1" r1="B35" r2="B17"/>
        <v>120.73773654995443</v>
      </c>
      <c r="C57" s="274">
        <v>149.3859381607094</v>
      </c>
      <c r="D57" s="275">
        <v>197.13294084530108</v>
      </c>
      <c r="E57" s="274">
        <v>292.62694621448429</v>
      </c>
      <c r="F57" s="138"/>
    </row>
    <row r="58" spans="1:6" ht="21.75" customHeight="1" x14ac:dyDescent="0.2">
      <c r="A58" s="136">
        <v>0.09</v>
      </c>
      <c r="B58" s="274">
        <v>98.019764626023175</v>
      </c>
      <c r="C58" s="274">
        <v>116.4272784573991</v>
      </c>
      <c r="D58" s="275">
        <v>144.03854920446301</v>
      </c>
      <c r="E58" s="274">
        <v>190.05733378290287</v>
      </c>
      <c r="F58" s="138"/>
    </row>
    <row r="59" spans="1:6" ht="21.75" customHeight="1" x14ac:dyDescent="0.2">
      <c r="A59" s="136">
        <v>0.1</v>
      </c>
      <c r="B59" s="274">
        <v>81.885951701500858</v>
      </c>
      <c r="C59" s="274">
        <v>94.562538980956248</v>
      </c>
      <c r="D59" s="275">
        <v>112.30976117219382</v>
      </c>
      <c r="E59" s="274">
        <v>138.93059445905013</v>
      </c>
      <c r="F59" s="138"/>
    </row>
    <row r="60" spans="1:6" ht="21.75" customHeight="1" x14ac:dyDescent="0.2">
      <c r="A60" s="136">
        <v>0.11</v>
      </c>
      <c r="B60" s="274">
        <v>69.863294881185425</v>
      </c>
      <c r="C60" s="274">
        <v>79.032727000534877</v>
      </c>
      <c r="D60" s="275">
        <v>91.258636493000807</v>
      </c>
      <c r="E60" s="274">
        <v>108.37490978245312</v>
      </c>
      <c r="F60" s="138"/>
    </row>
    <row r="61" spans="1:6" ht="21.75" customHeight="1" x14ac:dyDescent="0.2">
      <c r="A61" s="136">
        <v>0.12</v>
      </c>
      <c r="B61" s="274">
        <v>60.578105840318621</v>
      </c>
      <c r="C61" s="274">
        <v>67.458570917180595</v>
      </c>
      <c r="D61" s="275">
        <v>76.304883158860292</v>
      </c>
      <c r="E61" s="274">
        <v>88.099966147766551</v>
      </c>
      <c r="F61" s="138"/>
    </row>
    <row r="62" spans="1:6" ht="7.5" customHeight="1" x14ac:dyDescent="0.2">
      <c r="A62" s="6"/>
      <c r="B62" s="6"/>
      <c r="C62" s="6"/>
      <c r="D62" s="6"/>
      <c r="E62" s="6"/>
      <c r="F62" s="138"/>
    </row>
    <row r="63" spans="1:6" ht="43.5" customHeight="1" x14ac:dyDescent="0.2">
      <c r="A63" s="303" t="s">
        <v>189</v>
      </c>
      <c r="B63" s="303"/>
      <c r="C63" s="303"/>
      <c r="D63" s="303"/>
      <c r="E63" s="303"/>
      <c r="F63" s="303"/>
    </row>
    <row r="64" spans="1:6" ht="7.5" customHeight="1" x14ac:dyDescent="0.2">
      <c r="A64" s="6"/>
      <c r="B64" s="6"/>
      <c r="C64" s="6"/>
      <c r="D64" s="6"/>
      <c r="E64" s="6"/>
      <c r="F64" s="138"/>
    </row>
    <row r="65" spans="1:6" ht="19.5" customHeight="1" x14ac:dyDescent="0.2">
      <c r="A65" s="284" t="s">
        <v>66</v>
      </c>
      <c r="B65" s="284"/>
      <c r="C65" s="284"/>
      <c r="D65" s="284"/>
      <c r="E65" s="284"/>
      <c r="F65" s="284"/>
    </row>
  </sheetData>
  <mergeCells count="9">
    <mergeCell ref="A42:F42"/>
    <mergeCell ref="A55:F55"/>
    <mergeCell ref="A63:F63"/>
    <mergeCell ref="A65:F65"/>
    <mergeCell ref="A1:F4"/>
    <mergeCell ref="A6:F6"/>
    <mergeCell ref="A19:F19"/>
    <mergeCell ref="A31:F31"/>
    <mergeCell ref="A33:F33"/>
  </mergeCells>
  <pageMargins left="0.75" right="0.75" top="1" bottom="1" header="0.511811023622047" footer="0.511811023622047"/>
  <pageSetup paperSize="9" orientation="portrait" horizontalDpi="300" verticalDpi="300"/>
  <ignoredErrors>
    <ignoredError sqref="C28"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45309"/>
  </sheetPr>
  <dimension ref="A1:J44"/>
  <sheetViews>
    <sheetView showGridLines="0" topLeftCell="A25" zoomScale="70" zoomScaleNormal="70" workbookViewId="0">
      <selection activeCell="G43" sqref="G43"/>
    </sheetView>
  </sheetViews>
  <sheetFormatPr defaultColWidth="8.609375" defaultRowHeight="15" x14ac:dyDescent="0.2"/>
  <cols>
    <col min="1" max="1" width="36.9921875" style="139" customWidth="1"/>
    <col min="2" max="2" width="19.1015625" customWidth="1"/>
    <col min="3" max="3" width="17.484375" customWidth="1"/>
    <col min="4" max="6" width="16.6796875" customWidth="1"/>
    <col min="7" max="9" width="15.73828125" customWidth="1"/>
    <col min="10" max="10" width="17.484375" customWidth="1"/>
  </cols>
  <sheetData>
    <row r="1" spans="1:10" x14ac:dyDescent="0.2">
      <c r="A1" s="308" t="s">
        <v>190</v>
      </c>
      <c r="B1" s="308"/>
      <c r="C1" s="308"/>
      <c r="D1" s="308"/>
      <c r="E1" s="308"/>
      <c r="F1" s="308"/>
      <c r="G1" s="308"/>
      <c r="H1" s="308"/>
      <c r="I1" s="308"/>
      <c r="J1" s="308"/>
    </row>
    <row r="2" spans="1:10" x14ac:dyDescent="0.2">
      <c r="A2" s="308"/>
      <c r="B2" s="308"/>
      <c r="C2" s="308"/>
      <c r="D2" s="308"/>
      <c r="E2" s="308"/>
      <c r="F2" s="308"/>
      <c r="G2" s="308"/>
      <c r="H2" s="308"/>
      <c r="I2" s="308"/>
      <c r="J2" s="308"/>
    </row>
    <row r="3" spans="1:10" x14ac:dyDescent="0.2">
      <c r="A3" s="308"/>
      <c r="B3" s="308"/>
      <c r="C3" s="308"/>
      <c r="D3" s="308"/>
      <c r="E3" s="308"/>
      <c r="F3" s="308"/>
      <c r="G3" s="308"/>
      <c r="H3" s="308"/>
      <c r="I3" s="308"/>
      <c r="J3" s="308"/>
    </row>
    <row r="4" spans="1:10" x14ac:dyDescent="0.2">
      <c r="A4" s="308"/>
      <c r="B4" s="308"/>
      <c r="C4" s="308"/>
      <c r="D4" s="308"/>
      <c r="E4" s="308"/>
      <c r="F4" s="308"/>
      <c r="G4" s="308"/>
      <c r="H4" s="308"/>
      <c r="I4" s="308"/>
      <c r="J4" s="308"/>
    </row>
    <row r="5" spans="1:10" x14ac:dyDescent="0.2">
      <c r="A5" s="140"/>
      <c r="B5" s="1"/>
      <c r="C5" s="1"/>
      <c r="D5" s="1"/>
      <c r="E5" s="1"/>
      <c r="F5" s="1"/>
      <c r="G5" s="1"/>
      <c r="H5" s="1"/>
      <c r="I5" s="1"/>
      <c r="J5" s="1"/>
    </row>
    <row r="6" spans="1:10" ht="28.5" customHeight="1" x14ac:dyDescent="0.2">
      <c r="A6" s="141" t="s">
        <v>191</v>
      </c>
      <c r="B6" s="70" t="s">
        <v>192</v>
      </c>
      <c r="C6" s="70" t="s">
        <v>193</v>
      </c>
      <c r="D6" s="70" t="s">
        <v>194</v>
      </c>
      <c r="E6" s="70" t="s">
        <v>195</v>
      </c>
      <c r="F6" s="70" t="s">
        <v>196</v>
      </c>
      <c r="G6" s="70" t="s">
        <v>197</v>
      </c>
      <c r="H6" s="70" t="s">
        <v>198</v>
      </c>
      <c r="I6" s="70" t="s">
        <v>199</v>
      </c>
      <c r="J6" s="70" t="s">
        <v>75</v>
      </c>
    </row>
    <row r="7" spans="1:10" ht="21.75" customHeight="1" x14ac:dyDescent="0.2">
      <c r="A7" s="247" t="s">
        <v>293</v>
      </c>
      <c r="B7" s="237" t="s">
        <v>298</v>
      </c>
      <c r="C7" s="248">
        <v>11148</v>
      </c>
      <c r="D7" s="238">
        <v>2220</v>
      </c>
      <c r="E7" s="238">
        <v>204</v>
      </c>
      <c r="F7" s="234">
        <f>C7/D7</f>
        <v>5.0216216216216214</v>
      </c>
      <c r="G7" s="234">
        <f>C7/E7</f>
        <v>54.647058823529413</v>
      </c>
      <c r="H7" s="241">
        <v>72.7</v>
      </c>
      <c r="I7" s="251">
        <v>0.17299999999999999</v>
      </c>
      <c r="J7" s="242">
        <f>E7/D7</f>
        <v>9.1891891891891897E-2</v>
      </c>
    </row>
    <row r="8" spans="1:10" ht="21.75" customHeight="1" x14ac:dyDescent="0.2">
      <c r="A8" s="247" t="s">
        <v>294</v>
      </c>
      <c r="B8" s="239" t="s">
        <v>299</v>
      </c>
      <c r="C8" s="249">
        <v>19578</v>
      </c>
      <c r="D8" s="240">
        <v>3817</v>
      </c>
      <c r="E8" s="240">
        <v>895</v>
      </c>
      <c r="F8" s="235">
        <f t="shared" ref="F8:F11" si="0">C8/D8</f>
        <v>5.129159025412628</v>
      </c>
      <c r="G8" s="235">
        <f t="shared" ref="G8:G11" si="1">C8/E8</f>
        <v>21.874860335195532</v>
      </c>
      <c r="H8" s="243">
        <v>24.6</v>
      </c>
      <c r="I8" s="252">
        <v>2.1399999999999999E-2</v>
      </c>
      <c r="J8" s="244">
        <f t="shared" ref="J8:J11" si="2">E8/D8</f>
        <v>0.23447733822373593</v>
      </c>
    </row>
    <row r="9" spans="1:10" ht="21.75" customHeight="1" x14ac:dyDescent="0.2">
      <c r="A9" s="247" t="s">
        <v>297</v>
      </c>
      <c r="B9" s="237" t="s">
        <v>300</v>
      </c>
      <c r="C9" s="248">
        <v>110994</v>
      </c>
      <c r="D9" s="238">
        <v>17618</v>
      </c>
      <c r="E9" s="238">
        <v>2599</v>
      </c>
      <c r="F9" s="236">
        <f t="shared" si="0"/>
        <v>6.30003405607901</v>
      </c>
      <c r="G9" s="236">
        <f t="shared" si="1"/>
        <v>42.706425548287804</v>
      </c>
      <c r="H9" s="254">
        <v>76</v>
      </c>
      <c r="I9" s="251">
        <v>0.14899999999999999</v>
      </c>
      <c r="J9" s="245">
        <f t="shared" si="2"/>
        <v>0.1475195822454308</v>
      </c>
    </row>
    <row r="10" spans="1:10" ht="21.75" customHeight="1" x14ac:dyDescent="0.2">
      <c r="A10" s="247" t="s">
        <v>295</v>
      </c>
      <c r="B10" s="239" t="s">
        <v>301</v>
      </c>
      <c r="C10" s="249">
        <v>98451</v>
      </c>
      <c r="D10" s="240">
        <v>10831</v>
      </c>
      <c r="E10" s="240">
        <v>2210</v>
      </c>
      <c r="F10" s="235">
        <f t="shared" si="0"/>
        <v>9.0897424060566898</v>
      </c>
      <c r="G10" s="235">
        <f t="shared" si="1"/>
        <v>44.547963800904981</v>
      </c>
      <c r="H10" s="243">
        <v>57.4</v>
      </c>
      <c r="I10" s="252">
        <v>0.253</v>
      </c>
      <c r="J10" s="244">
        <f t="shared" si="2"/>
        <v>0.20404394792724587</v>
      </c>
    </row>
    <row r="11" spans="1:10" ht="21.75" customHeight="1" x14ac:dyDescent="0.2">
      <c r="A11" s="247" t="s">
        <v>296</v>
      </c>
      <c r="B11" s="237" t="s">
        <v>302</v>
      </c>
      <c r="C11" s="248">
        <v>16574</v>
      </c>
      <c r="D11" s="238">
        <v>2622</v>
      </c>
      <c r="E11" s="238">
        <v>322</v>
      </c>
      <c r="F11" s="236">
        <f t="shared" si="0"/>
        <v>6.3211289092295955</v>
      </c>
      <c r="G11" s="236">
        <f t="shared" si="1"/>
        <v>51.472049689440993</v>
      </c>
      <c r="H11" s="241">
        <v>66.3</v>
      </c>
      <c r="I11" s="250">
        <v>9.98E-2</v>
      </c>
      <c r="J11" s="246">
        <f t="shared" si="2"/>
        <v>0.12280701754385964</v>
      </c>
    </row>
    <row r="12" spans="1:10" ht="9.75" customHeight="1" x14ac:dyDescent="0.2">
      <c r="A12" s="309"/>
      <c r="B12" s="309"/>
      <c r="C12" s="309"/>
      <c r="D12" s="309"/>
      <c r="E12" s="309"/>
      <c r="F12" s="309"/>
      <c r="G12" s="309"/>
      <c r="H12" s="309"/>
      <c r="I12" s="309"/>
      <c r="J12" s="309"/>
    </row>
    <row r="13" spans="1:10" ht="25.5" customHeight="1" x14ac:dyDescent="0.2">
      <c r="A13" s="310" t="s">
        <v>200</v>
      </c>
      <c r="B13" s="310"/>
      <c r="C13" s="310"/>
      <c r="D13" s="310"/>
      <c r="E13" s="310"/>
      <c r="F13" s="310"/>
      <c r="G13" s="310"/>
      <c r="H13" s="310"/>
      <c r="I13" s="310"/>
      <c r="J13" s="310"/>
    </row>
    <row r="14" spans="1:10" ht="21.75" customHeight="1" x14ac:dyDescent="0.2">
      <c r="A14" s="141" t="s">
        <v>201</v>
      </c>
      <c r="B14" s="146"/>
      <c r="C14" s="70" t="s">
        <v>202</v>
      </c>
      <c r="D14" s="70" t="s">
        <v>203</v>
      </c>
      <c r="E14" s="70" t="s">
        <v>204</v>
      </c>
      <c r="F14" s="70" t="s">
        <v>205</v>
      </c>
      <c r="G14" s="147"/>
      <c r="H14" s="148"/>
      <c r="I14" s="148"/>
      <c r="J14" s="148"/>
    </row>
    <row r="15" spans="1:10" ht="21.75" customHeight="1" x14ac:dyDescent="0.2">
      <c r="A15" s="142" t="s">
        <v>196</v>
      </c>
      <c r="B15" s="149"/>
      <c r="C15" s="143">
        <f>MEDIAN(F7:F11)</f>
        <v>6.30003405607901</v>
      </c>
      <c r="D15" s="143">
        <f>AVERAGE(F7:F11)</f>
        <v>6.3723372036799093</v>
      </c>
      <c r="E15" s="143">
        <f>QUARTILE(F7:F11,1)</f>
        <v>5.129159025412628</v>
      </c>
      <c r="F15" s="143">
        <f>QUARTILE(F7:F11,3)</f>
        <v>6.3211289092295955</v>
      </c>
      <c r="G15" s="150"/>
      <c r="H15" s="120"/>
      <c r="I15" s="120"/>
      <c r="J15" s="120"/>
    </row>
    <row r="16" spans="1:10" ht="21.75" customHeight="1" x14ac:dyDescent="0.2">
      <c r="A16" s="144" t="s">
        <v>197</v>
      </c>
      <c r="B16" s="149"/>
      <c r="C16" s="145">
        <f>MEDIAN(G7:G11)</f>
        <v>44.547963800904981</v>
      </c>
      <c r="D16" s="145">
        <f>AVERAGE(G7:G11)</f>
        <v>43.049671639471754</v>
      </c>
      <c r="E16" s="145">
        <f>QUARTILE(G7:G11,1)</f>
        <v>42.706425548287804</v>
      </c>
      <c r="F16" s="145">
        <f>QUARTILE(G7:G11,3)</f>
        <v>51.472049689440993</v>
      </c>
      <c r="G16" s="150"/>
      <c r="H16" s="120"/>
      <c r="I16" s="120"/>
      <c r="J16" s="120"/>
    </row>
    <row r="17" spans="1:10" ht="21.75" customHeight="1" x14ac:dyDescent="0.2">
      <c r="A17" s="142" t="s">
        <v>198</v>
      </c>
      <c r="B17" s="149"/>
      <c r="C17" s="143">
        <f>MEDIAN(H7:H11)</f>
        <v>66.3</v>
      </c>
      <c r="D17" s="143">
        <f>AVERAGE(H7:H11)</f>
        <v>59.4</v>
      </c>
      <c r="E17" s="143">
        <f>QUARTILE(H7:H11,1)</f>
        <v>57.4</v>
      </c>
      <c r="F17" s="143">
        <f>QUARTILE(H7:H11,3)</f>
        <v>72.7</v>
      </c>
      <c r="G17" s="150"/>
      <c r="H17" s="120"/>
      <c r="I17" s="120"/>
      <c r="J17" s="120"/>
    </row>
    <row r="18" spans="1:10" ht="21.75" customHeight="1" x14ac:dyDescent="0.2">
      <c r="A18" s="144" t="s">
        <v>206</v>
      </c>
      <c r="B18" s="149"/>
      <c r="C18" s="253">
        <f>MEDIAN(I7:I11)</f>
        <v>0.14899999999999999</v>
      </c>
      <c r="D18" s="88">
        <f>AVERAGE(I7:I11)</f>
        <v>0.13924</v>
      </c>
      <c r="E18" s="88">
        <f>QUARTILE(I7:I11,1)</f>
        <v>9.98E-2</v>
      </c>
      <c r="F18" s="88">
        <f>QUARTILE(I7:I11,3)</f>
        <v>0.17299999999999999</v>
      </c>
      <c r="G18" s="150"/>
      <c r="H18" s="120"/>
      <c r="I18" s="120"/>
      <c r="J18" s="120"/>
    </row>
    <row r="19" spans="1:10" ht="21.75" customHeight="1" x14ac:dyDescent="0.2">
      <c r="A19" s="142" t="s">
        <v>62</v>
      </c>
      <c r="B19" s="149"/>
      <c r="C19" s="97">
        <f>MEDIAN(J7:J11)</f>
        <v>0.1475195822454308</v>
      </c>
      <c r="D19" s="97">
        <f>AVERAGE(J7:J11)</f>
        <v>0.16014795556643283</v>
      </c>
      <c r="E19" s="97">
        <f>QUARTILE(J7:J11,1)</f>
        <v>0.12280701754385964</v>
      </c>
      <c r="F19" s="97">
        <f>QUARTILE(J7:J11,3)</f>
        <v>0.20404394792724587</v>
      </c>
      <c r="G19" s="151"/>
      <c r="H19" s="152"/>
      <c r="I19" s="152"/>
      <c r="J19" s="152"/>
    </row>
    <row r="20" spans="1:10" ht="49.5" customHeight="1" x14ac:dyDescent="0.2">
      <c r="A20" s="153" t="s">
        <v>207</v>
      </c>
      <c r="B20" s="154"/>
      <c r="C20" s="6"/>
      <c r="D20" s="6"/>
      <c r="E20" s="6"/>
      <c r="F20" s="6"/>
      <c r="G20" s="6"/>
      <c r="H20" s="6"/>
      <c r="I20" s="6"/>
      <c r="J20" s="6"/>
    </row>
    <row r="21" spans="1:10" ht="25.5" customHeight="1" x14ac:dyDescent="0.2">
      <c r="A21" s="311"/>
      <c r="B21" s="311"/>
      <c r="C21" s="311"/>
      <c r="D21" s="311"/>
      <c r="E21" s="311"/>
      <c r="F21" s="311"/>
      <c r="G21" s="311"/>
      <c r="H21" s="311"/>
      <c r="I21" s="311"/>
      <c r="J21" s="311"/>
    </row>
    <row r="22" spans="1:10" ht="21.75" customHeight="1" x14ac:dyDescent="0.2">
      <c r="A22" s="312" t="s">
        <v>208</v>
      </c>
      <c r="B22" s="312"/>
      <c r="C22" s="312"/>
      <c r="D22" s="312"/>
      <c r="E22" s="312"/>
      <c r="F22" s="312"/>
      <c r="G22" s="312"/>
      <c r="H22" s="312"/>
      <c r="I22" s="312"/>
      <c r="J22" s="312"/>
    </row>
    <row r="23" spans="1:10" ht="24" customHeight="1" x14ac:dyDescent="0.2">
      <c r="A23" s="155" t="s">
        <v>209</v>
      </c>
      <c r="B23" s="156" t="s">
        <v>210</v>
      </c>
      <c r="C23" s="157"/>
      <c r="D23" s="148" t="s">
        <v>211</v>
      </c>
      <c r="E23" s="148"/>
      <c r="F23" s="148" t="s">
        <v>212</v>
      </c>
      <c r="G23" s="148" t="s">
        <v>213</v>
      </c>
      <c r="H23" s="148"/>
      <c r="I23" s="148"/>
      <c r="J23" s="148"/>
    </row>
    <row r="24" spans="1:10" ht="24" customHeight="1" x14ac:dyDescent="0.2">
      <c r="A24" s="158" t="s">
        <v>214</v>
      </c>
      <c r="B24" s="255">
        <f>PROJECTIONS!E21</f>
        <v>315.83999999999997</v>
      </c>
      <c r="C24" s="116"/>
      <c r="D24" s="159"/>
      <c r="E24" s="159"/>
      <c r="F24" s="159"/>
      <c r="G24" s="159"/>
      <c r="H24" s="159"/>
      <c r="I24" s="159"/>
      <c r="J24" s="159"/>
    </row>
    <row r="25" spans="1:10" ht="24" customHeight="1" x14ac:dyDescent="0.2">
      <c r="A25" s="160" t="s">
        <v>215</v>
      </c>
      <c r="B25" s="255">
        <f>PROJECTIONS!E25</f>
        <v>42.638399999999997</v>
      </c>
      <c r="C25" s="119"/>
      <c r="D25" s="161"/>
      <c r="E25" s="161"/>
      <c r="F25" s="161"/>
      <c r="G25" s="161"/>
      <c r="H25" s="161"/>
      <c r="I25" s="161"/>
      <c r="J25" s="161"/>
    </row>
    <row r="26" spans="1:10" ht="24" customHeight="1" x14ac:dyDescent="0.2">
      <c r="A26" s="158" t="s">
        <v>216</v>
      </c>
      <c r="B26" s="256">
        <f>PROJECTIONS!E33</f>
        <v>28.638720000000003</v>
      </c>
      <c r="C26" s="116"/>
      <c r="D26" s="159"/>
      <c r="E26" s="159"/>
      <c r="F26" s="159"/>
      <c r="G26" s="159"/>
      <c r="H26" s="159"/>
      <c r="I26" s="159"/>
      <c r="J26" s="159"/>
    </row>
    <row r="27" spans="1:10" ht="24" customHeight="1" x14ac:dyDescent="0.2">
      <c r="A27" s="160" t="s">
        <v>217</v>
      </c>
      <c r="B27" s="162">
        <f>ASSUMPTIONS!C26</f>
        <v>-16</v>
      </c>
      <c r="C27" s="163" t="s">
        <v>218</v>
      </c>
      <c r="D27" s="161"/>
      <c r="E27" s="161"/>
      <c r="F27" s="161"/>
      <c r="G27" s="161"/>
      <c r="H27" s="161"/>
      <c r="I27" s="161"/>
      <c r="J27" s="161"/>
    </row>
    <row r="28" spans="1:10" ht="24" customHeight="1" x14ac:dyDescent="0.2">
      <c r="A28" s="158" t="s">
        <v>219</v>
      </c>
      <c r="B28" s="162">
        <v>10</v>
      </c>
      <c r="C28" s="116"/>
      <c r="D28" s="159"/>
      <c r="E28" s="159"/>
      <c r="F28" s="159"/>
      <c r="G28" s="159"/>
      <c r="H28" s="159"/>
      <c r="I28" s="159"/>
      <c r="J28" s="159"/>
    </row>
    <row r="29" spans="1:10" ht="25.5" customHeight="1" x14ac:dyDescent="0.2">
      <c r="A29" s="305" t="s">
        <v>220</v>
      </c>
      <c r="B29" s="305"/>
      <c r="C29" s="305"/>
      <c r="D29" s="305"/>
      <c r="E29" s="305"/>
      <c r="F29" s="305"/>
      <c r="G29" s="305"/>
      <c r="H29" s="305"/>
      <c r="I29" s="305"/>
      <c r="J29" s="305"/>
    </row>
    <row r="30" spans="1:10" ht="21.75" customHeight="1" x14ac:dyDescent="0.2">
      <c r="A30" s="164" t="s">
        <v>221</v>
      </c>
      <c r="B30" s="165" t="s">
        <v>222</v>
      </c>
      <c r="C30" s="166" t="s">
        <v>223</v>
      </c>
      <c r="D30" s="99" t="s">
        <v>224</v>
      </c>
      <c r="E30" s="99" t="s">
        <v>225</v>
      </c>
      <c r="F30" s="99" t="s">
        <v>226</v>
      </c>
      <c r="G30" s="99" t="s">
        <v>227</v>
      </c>
      <c r="H30" s="167" t="s">
        <v>228</v>
      </c>
      <c r="I30" s="99"/>
      <c r="J30" s="100"/>
    </row>
    <row r="31" spans="1:10" ht="25.5" customHeight="1" x14ac:dyDescent="0.2">
      <c r="A31" s="160" t="s">
        <v>229</v>
      </c>
      <c r="B31" s="258">
        <v>5</v>
      </c>
      <c r="C31" s="261">
        <f>B24*B31</f>
        <v>1579.1999999999998</v>
      </c>
      <c r="D31" s="102">
        <f>B27</f>
        <v>-16</v>
      </c>
      <c r="E31" s="263">
        <f>C31-D31</f>
        <v>1595.1999999999998</v>
      </c>
      <c r="F31" s="168">
        <v>10</v>
      </c>
      <c r="G31" s="266">
        <f>E31/F31</f>
        <v>159.51999999999998</v>
      </c>
      <c r="H31" s="169" t="s">
        <v>230</v>
      </c>
      <c r="I31" s="120"/>
      <c r="J31" s="170"/>
    </row>
    <row r="32" spans="1:10" ht="25.5" customHeight="1" x14ac:dyDescent="0.2">
      <c r="A32" s="158" t="s">
        <v>231</v>
      </c>
      <c r="B32" s="259">
        <v>40</v>
      </c>
      <c r="C32" s="262">
        <f>B25*B32</f>
        <v>1705.5359999999998</v>
      </c>
      <c r="D32" s="105">
        <f>B27</f>
        <v>-16</v>
      </c>
      <c r="E32" s="264">
        <f>C32-D32</f>
        <v>1721.5359999999998</v>
      </c>
      <c r="F32" s="171">
        <v>10</v>
      </c>
      <c r="G32" s="267">
        <f>E32/F32</f>
        <v>172.15359999999998</v>
      </c>
      <c r="H32" s="169" t="s">
        <v>232</v>
      </c>
      <c r="I32" s="117"/>
      <c r="J32" s="172"/>
    </row>
    <row r="33" spans="1:10" ht="25.5" customHeight="1" x14ac:dyDescent="0.2">
      <c r="A33" s="173" t="s">
        <v>233</v>
      </c>
      <c r="B33" s="260">
        <v>52</v>
      </c>
      <c r="C33" s="174" t="s">
        <v>234</v>
      </c>
      <c r="D33" s="175" t="s">
        <v>234</v>
      </c>
      <c r="E33" s="265">
        <f>B33*B26</f>
        <v>1489.2134400000002</v>
      </c>
      <c r="F33" s="176">
        <v>10</v>
      </c>
      <c r="G33" s="268">
        <f>E33/F33</f>
        <v>148.92134400000003</v>
      </c>
      <c r="H33" s="177" t="s">
        <v>235</v>
      </c>
      <c r="I33" s="178"/>
      <c r="J33" s="179"/>
    </row>
    <row r="34" spans="1:10" ht="7.5" customHeight="1" x14ac:dyDescent="0.2">
      <c r="A34" s="180"/>
      <c r="B34" s="181"/>
      <c r="C34" s="182"/>
      <c r="D34" s="6"/>
      <c r="E34" s="6"/>
      <c r="F34" s="6"/>
      <c r="G34" s="6"/>
      <c r="H34" s="6"/>
      <c r="I34" s="6"/>
      <c r="J34" s="6"/>
    </row>
    <row r="35" spans="1:10" ht="7.5" customHeight="1" x14ac:dyDescent="0.2">
      <c r="A35" s="153"/>
      <c r="B35" s="6"/>
      <c r="C35" s="6"/>
      <c r="D35" s="6"/>
      <c r="E35" s="6"/>
      <c r="F35" s="6"/>
      <c r="G35" s="6"/>
      <c r="H35" s="6"/>
      <c r="I35" s="6"/>
      <c r="J35" s="6"/>
    </row>
    <row r="36" spans="1:10" ht="7.5" customHeight="1" x14ac:dyDescent="0.2">
      <c r="A36" s="153"/>
      <c r="B36" s="6"/>
      <c r="C36" s="6"/>
      <c r="D36" s="6"/>
      <c r="E36" s="6"/>
      <c r="F36" s="6"/>
      <c r="G36" s="6"/>
      <c r="H36" s="6"/>
      <c r="I36" s="6"/>
      <c r="J36" s="6"/>
    </row>
    <row r="37" spans="1:10" ht="25.5" customHeight="1" x14ac:dyDescent="0.2">
      <c r="A37" s="306" t="s">
        <v>236</v>
      </c>
      <c r="B37" s="306"/>
      <c r="C37" s="306"/>
      <c r="D37" s="306"/>
      <c r="E37" s="306"/>
      <c r="F37" s="306"/>
      <c r="G37" s="306"/>
      <c r="H37" s="306"/>
      <c r="I37" s="306"/>
      <c r="J37" s="306"/>
    </row>
    <row r="38" spans="1:10" ht="21.75" customHeight="1" x14ac:dyDescent="0.2">
      <c r="A38" s="307" t="s">
        <v>314</v>
      </c>
      <c r="B38" s="307"/>
      <c r="C38" s="307"/>
      <c r="D38" s="307"/>
      <c r="E38" s="307"/>
      <c r="F38" s="307"/>
      <c r="G38" s="307"/>
      <c r="H38" s="307"/>
      <c r="I38" s="307"/>
      <c r="J38" s="307"/>
    </row>
    <row r="39" spans="1:10" ht="21.75" customHeight="1" x14ac:dyDescent="0.2">
      <c r="A39" s="307"/>
      <c r="B39" s="307"/>
      <c r="C39" s="307"/>
      <c r="D39" s="307"/>
      <c r="E39" s="307"/>
      <c r="F39" s="307"/>
      <c r="G39" s="307"/>
      <c r="H39" s="307"/>
      <c r="I39" s="307"/>
      <c r="J39" s="307"/>
    </row>
    <row r="40" spans="1:10" ht="21.75" customHeight="1" x14ac:dyDescent="0.2">
      <c r="A40" s="307"/>
      <c r="B40" s="307"/>
      <c r="C40" s="307"/>
      <c r="D40" s="307"/>
      <c r="E40" s="307"/>
      <c r="F40" s="307"/>
      <c r="G40" s="307"/>
      <c r="H40" s="307"/>
      <c r="I40" s="307"/>
      <c r="J40" s="307"/>
    </row>
    <row r="41" spans="1:10" ht="21.75" customHeight="1" x14ac:dyDescent="0.2">
      <c r="A41" s="307"/>
      <c r="B41" s="307"/>
      <c r="C41" s="307"/>
      <c r="D41" s="307"/>
      <c r="E41" s="307"/>
      <c r="F41" s="307"/>
      <c r="G41" s="307"/>
      <c r="H41" s="307"/>
      <c r="I41" s="307"/>
      <c r="J41" s="307"/>
    </row>
    <row r="42" spans="1:10" ht="21.75" customHeight="1" x14ac:dyDescent="0.2">
      <c r="A42" s="307"/>
      <c r="B42" s="307"/>
      <c r="C42" s="307"/>
      <c r="D42" s="307"/>
      <c r="E42" s="307"/>
      <c r="F42" s="307"/>
      <c r="G42" s="307"/>
      <c r="H42" s="307"/>
      <c r="I42" s="307"/>
      <c r="J42" s="307"/>
    </row>
    <row r="43" spans="1:10" ht="21.75" customHeight="1" x14ac:dyDescent="0.2"/>
    <row r="44" spans="1:10" ht="19.5" customHeight="1" x14ac:dyDescent="0.2">
      <c r="A44" s="284" t="s">
        <v>66</v>
      </c>
      <c r="B44" s="284"/>
      <c r="C44" s="284"/>
      <c r="D44" s="284"/>
      <c r="E44" s="284"/>
      <c r="F44" s="284"/>
      <c r="G44" s="284"/>
      <c r="H44" s="284"/>
      <c r="I44" s="284"/>
      <c r="J44" s="284"/>
    </row>
  </sheetData>
  <mergeCells count="9">
    <mergeCell ref="A29:J29"/>
    <mergeCell ref="A37:J37"/>
    <mergeCell ref="A38:J42"/>
    <mergeCell ref="A44:J44"/>
    <mergeCell ref="A1:J4"/>
    <mergeCell ref="A12:J12"/>
    <mergeCell ref="A13:J13"/>
    <mergeCell ref="A21:J21"/>
    <mergeCell ref="A22:J22"/>
  </mergeCells>
  <pageMargins left="0.75" right="0.75" top="1" bottom="1" header="0.511811023622047" footer="0.511811023622047"/>
  <pageSetup paperSize="9" orientation="portrait" horizontalDpi="300" verticalDpi="300"/>
  <ignoredErrors>
    <ignoredError sqref="E16"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F766E"/>
  </sheetPr>
  <dimension ref="A1:H42"/>
  <sheetViews>
    <sheetView showGridLines="0" tabSelected="1" topLeftCell="B1" zoomScale="85" zoomScaleNormal="85" workbookViewId="0">
      <selection activeCell="G44" sqref="G44"/>
    </sheetView>
  </sheetViews>
  <sheetFormatPr defaultColWidth="8.609375" defaultRowHeight="15" x14ac:dyDescent="0.2"/>
  <cols>
    <col min="1" max="1" width="44.390625" customWidth="1"/>
    <col min="2" max="4" width="21.38671875" customWidth="1"/>
    <col min="5" max="5" width="16.6796875" customWidth="1"/>
    <col min="6" max="6" width="20.3125" customWidth="1"/>
    <col min="7" max="7" width="31.4765625" customWidth="1"/>
    <col min="8" max="8" width="14.796875" customWidth="1"/>
  </cols>
  <sheetData>
    <row r="1" spans="1:8" ht="39.75" customHeight="1" x14ac:dyDescent="0.2">
      <c r="A1" s="280" t="s">
        <v>237</v>
      </c>
      <c r="B1" s="280"/>
      <c r="C1" s="280"/>
      <c r="D1" s="280"/>
      <c r="E1" s="280"/>
      <c r="F1" s="280"/>
      <c r="G1" s="280"/>
      <c r="H1" s="280"/>
    </row>
    <row r="2" spans="1:8" ht="7.5" customHeight="1" x14ac:dyDescent="0.2">
      <c r="A2" s="280"/>
      <c r="B2" s="280"/>
      <c r="C2" s="280"/>
      <c r="D2" s="280"/>
      <c r="E2" s="280"/>
      <c r="F2" s="280"/>
      <c r="G2" s="280"/>
      <c r="H2" s="280"/>
    </row>
    <row r="3" spans="1:8" ht="7.5" customHeight="1" x14ac:dyDescent="0.2">
      <c r="A3" s="280"/>
      <c r="B3" s="280"/>
      <c r="C3" s="280"/>
      <c r="D3" s="280"/>
      <c r="E3" s="280"/>
      <c r="F3" s="280"/>
      <c r="G3" s="280"/>
      <c r="H3" s="280"/>
    </row>
    <row r="4" spans="1:8" ht="7.5" customHeight="1" x14ac:dyDescent="0.2">
      <c r="A4" s="280"/>
      <c r="B4" s="280"/>
      <c r="C4" s="280"/>
      <c r="D4" s="280"/>
      <c r="E4" s="280"/>
      <c r="F4" s="280"/>
      <c r="G4" s="280"/>
      <c r="H4" s="280"/>
    </row>
    <row r="5" spans="1:8" ht="7.5" customHeight="1" x14ac:dyDescent="0.2">
      <c r="A5" s="1"/>
      <c r="B5" s="1"/>
      <c r="C5" s="1"/>
      <c r="D5" s="1"/>
      <c r="E5" s="1"/>
      <c r="F5" s="1"/>
      <c r="G5" s="1"/>
      <c r="H5" s="1"/>
    </row>
    <row r="6" spans="1:8" ht="25.5" customHeight="1" x14ac:dyDescent="0.2">
      <c r="A6" s="279" t="s">
        <v>238</v>
      </c>
      <c r="B6" s="279"/>
      <c r="C6" s="279"/>
      <c r="D6" s="279"/>
      <c r="E6" s="279"/>
      <c r="F6" s="279"/>
      <c r="G6" s="279"/>
      <c r="H6" s="279"/>
    </row>
    <row r="7" spans="1:8" ht="21.75" customHeight="1" x14ac:dyDescent="0.2">
      <c r="A7" s="70" t="s">
        <v>239</v>
      </c>
      <c r="B7" s="70" t="s">
        <v>240</v>
      </c>
      <c r="C7" s="70" t="s">
        <v>241</v>
      </c>
      <c r="D7" s="70" t="s">
        <v>242</v>
      </c>
      <c r="E7" s="70" t="s">
        <v>243</v>
      </c>
      <c r="F7" s="70" t="s">
        <v>244</v>
      </c>
      <c r="G7" s="70"/>
      <c r="H7" s="70"/>
    </row>
    <row r="8" spans="1:8" ht="24" customHeight="1" x14ac:dyDescent="0.2">
      <c r="A8" s="73" t="s">
        <v>245</v>
      </c>
      <c r="B8" s="269">
        <f>'DCF VALUATION'!B51</f>
        <v>76.028573786770338</v>
      </c>
      <c r="C8" s="269">
        <f>'DCF VALUATION'!B50</f>
        <v>84.476193096411478</v>
      </c>
      <c r="D8" s="269">
        <f>'DCF VALUATION'!B52</f>
        <v>92.923812406052633</v>
      </c>
      <c r="E8" s="270">
        <v>0.4</v>
      </c>
      <c r="F8" s="271">
        <f>C8*E8</f>
        <v>33.790477238564591</v>
      </c>
      <c r="G8" s="116" t="s">
        <v>246</v>
      </c>
      <c r="H8" s="117"/>
    </row>
    <row r="9" spans="1:8" ht="24" customHeight="1" x14ac:dyDescent="0.2">
      <c r="A9" s="77" t="s">
        <v>247</v>
      </c>
      <c r="B9" s="269">
        <f>COMPARABLES!G32*0.9</f>
        <v>154.93823999999998</v>
      </c>
      <c r="C9" s="269">
        <f>COMPARABLES!G32</f>
        <v>172.15359999999998</v>
      </c>
      <c r="D9" s="269">
        <f>COMPARABLES!G32*1.1</f>
        <v>189.36895999999999</v>
      </c>
      <c r="E9" s="270">
        <v>0.4</v>
      </c>
      <c r="F9" s="272">
        <f>C9*E9</f>
        <v>68.861440000000002</v>
      </c>
      <c r="G9" s="119" t="s">
        <v>248</v>
      </c>
      <c r="H9" s="120"/>
    </row>
    <row r="10" spans="1:8" ht="24" customHeight="1" x14ac:dyDescent="0.2">
      <c r="A10" s="73" t="s">
        <v>249</v>
      </c>
      <c r="B10" s="269">
        <f>COMPARABLES!G33*0.9</f>
        <v>134.02920960000003</v>
      </c>
      <c r="C10" s="269">
        <f>COMPARABLES!G33</f>
        <v>148.92134400000003</v>
      </c>
      <c r="D10" s="269">
        <f>COMPARABLES!G33*1.1</f>
        <v>163.81347840000004</v>
      </c>
      <c r="E10" s="270">
        <v>0.2</v>
      </c>
      <c r="F10" s="271">
        <f>C10*E10</f>
        <v>29.784268800000007</v>
      </c>
      <c r="G10" s="116" t="s">
        <v>250</v>
      </c>
      <c r="H10" s="117"/>
    </row>
    <row r="11" spans="1:8" ht="24" customHeight="1" x14ac:dyDescent="0.2">
      <c r="A11" s="183" t="s">
        <v>251</v>
      </c>
      <c r="B11" s="273">
        <f>SUMPRODUCT(B8:B10,E8:E10)</f>
        <v>119.19256743470814</v>
      </c>
      <c r="C11" s="273">
        <f>SUMPRODUCT(C8:C10,E8:E10)</f>
        <v>132.43618603856459</v>
      </c>
      <c r="D11" s="273" cm="1">
        <f t="array" ref="D11">SUMPRODUCT(D8:D10*E8:E10)</f>
        <v>145.67980464242106</v>
      </c>
      <c r="E11" s="184">
        <v>1</v>
      </c>
      <c r="F11" s="273">
        <f>SUM(F8:F10)</f>
        <v>132.43618603856459</v>
      </c>
      <c r="G11" s="185" t="s">
        <v>252</v>
      </c>
      <c r="H11" s="186"/>
    </row>
    <row r="12" spans="1:8" ht="9.75" customHeight="1" x14ac:dyDescent="0.2">
      <c r="A12" s="6"/>
      <c r="B12" s="6"/>
      <c r="C12" s="6"/>
      <c r="D12" s="6"/>
      <c r="E12" s="6"/>
      <c r="F12" s="6"/>
      <c r="G12" s="6"/>
      <c r="H12" s="6"/>
    </row>
    <row r="13" spans="1:8" ht="9.75" customHeight="1" x14ac:dyDescent="0.2">
      <c r="A13" s="6"/>
      <c r="B13" s="6"/>
      <c r="C13" s="6"/>
      <c r="D13" s="6"/>
      <c r="E13" s="6"/>
      <c r="F13" s="6"/>
      <c r="G13" s="6"/>
      <c r="H13" s="6"/>
    </row>
    <row r="14" spans="1:8" ht="25.5" customHeight="1" x14ac:dyDescent="0.2">
      <c r="A14" s="279" t="s">
        <v>253</v>
      </c>
      <c r="B14" s="279"/>
      <c r="C14" s="279"/>
      <c r="D14" s="279"/>
      <c r="E14" s="279"/>
      <c r="F14" s="279"/>
      <c r="G14" s="279"/>
      <c r="H14" s="279"/>
    </row>
    <row r="15" spans="1:8" ht="24" customHeight="1" x14ac:dyDescent="0.2">
      <c r="A15" s="77" t="s">
        <v>254</v>
      </c>
      <c r="B15" s="281" t="s">
        <v>315</v>
      </c>
      <c r="C15" s="281"/>
      <c r="D15" s="281"/>
      <c r="E15" s="281"/>
      <c r="F15" s="281"/>
      <c r="G15" s="281"/>
      <c r="H15" s="281"/>
    </row>
    <row r="16" spans="1:8" ht="24" customHeight="1" x14ac:dyDescent="0.2">
      <c r="A16" s="73" t="s">
        <v>255</v>
      </c>
      <c r="B16" s="282" t="s">
        <v>316</v>
      </c>
      <c r="C16" s="282"/>
      <c r="D16" s="282"/>
      <c r="E16" s="282"/>
      <c r="F16" s="282"/>
      <c r="G16" s="282"/>
      <c r="H16" s="282"/>
    </row>
    <row r="17" spans="1:8" ht="24" customHeight="1" x14ac:dyDescent="0.2">
      <c r="A17" s="77" t="s">
        <v>256</v>
      </c>
      <c r="B17" s="281" t="s">
        <v>317</v>
      </c>
      <c r="C17" s="281"/>
      <c r="D17" s="281"/>
      <c r="E17" s="281"/>
      <c r="F17" s="281"/>
      <c r="G17" s="281"/>
      <c r="H17" s="281"/>
    </row>
    <row r="18" spans="1:8" ht="24" customHeight="1" x14ac:dyDescent="0.2">
      <c r="A18" s="73" t="s">
        <v>257</v>
      </c>
      <c r="B18" s="281" t="s">
        <v>318</v>
      </c>
      <c r="C18" s="281"/>
      <c r="D18" s="281"/>
      <c r="E18" s="281"/>
      <c r="F18" s="281"/>
      <c r="G18" s="281"/>
      <c r="H18" s="281"/>
    </row>
    <row r="19" spans="1:8" ht="24" customHeight="1" x14ac:dyDescent="0.2">
      <c r="A19" s="77" t="s">
        <v>258</v>
      </c>
      <c r="B19" s="281" t="s">
        <v>319</v>
      </c>
      <c r="C19" s="281"/>
      <c r="D19" s="281"/>
      <c r="E19" s="281"/>
      <c r="F19" s="281"/>
      <c r="G19" s="281"/>
      <c r="H19" s="281"/>
    </row>
    <row r="20" spans="1:8" ht="24" customHeight="1" x14ac:dyDescent="0.2">
      <c r="A20" s="73" t="s">
        <v>259</v>
      </c>
      <c r="B20" s="281" t="s">
        <v>320</v>
      </c>
      <c r="C20" s="281"/>
      <c r="D20" s="281"/>
      <c r="E20" s="281"/>
      <c r="F20" s="281"/>
      <c r="G20" s="281"/>
      <c r="H20" s="281"/>
    </row>
    <row r="21" spans="1:8" ht="9.75" customHeight="1" x14ac:dyDescent="0.2">
      <c r="A21" s="6"/>
      <c r="B21" s="6"/>
      <c r="C21" s="6"/>
      <c r="D21" s="6"/>
      <c r="E21" s="6"/>
      <c r="F21" s="6"/>
      <c r="G21" s="6"/>
      <c r="H21" s="6"/>
    </row>
    <row r="22" spans="1:8" ht="9.75" customHeight="1" x14ac:dyDescent="0.2">
      <c r="A22" s="6"/>
      <c r="B22" s="6"/>
      <c r="C22" s="6"/>
      <c r="D22" s="6"/>
      <c r="E22" s="6"/>
      <c r="F22" s="6"/>
      <c r="G22" s="6"/>
      <c r="H22" s="6"/>
    </row>
    <row r="23" spans="1:8" ht="25.5" customHeight="1" x14ac:dyDescent="0.2">
      <c r="A23" s="279" t="s">
        <v>260</v>
      </c>
      <c r="B23" s="279"/>
      <c r="C23" s="279"/>
      <c r="D23" s="279"/>
      <c r="E23" s="279"/>
      <c r="F23" s="279"/>
      <c r="G23" s="279"/>
      <c r="H23" s="279"/>
    </row>
    <row r="24" spans="1:8" ht="19.5" customHeight="1" x14ac:dyDescent="0.2">
      <c r="A24" s="283" t="s">
        <v>261</v>
      </c>
      <c r="B24" s="283"/>
      <c r="C24" s="283"/>
      <c r="D24" s="283"/>
      <c r="E24" s="283"/>
      <c r="F24" s="283"/>
      <c r="G24" s="283"/>
      <c r="H24" s="283"/>
    </row>
    <row r="25" spans="1:8" ht="19.5" customHeight="1" x14ac:dyDescent="0.2">
      <c r="A25" s="283"/>
      <c r="B25" s="283"/>
      <c r="C25" s="283"/>
      <c r="D25" s="283"/>
      <c r="E25" s="283"/>
      <c r="F25" s="283"/>
      <c r="G25" s="283"/>
      <c r="H25" s="283"/>
    </row>
    <row r="26" spans="1:8" ht="19.5" customHeight="1" x14ac:dyDescent="0.2">
      <c r="A26" s="283"/>
      <c r="B26" s="283"/>
      <c r="C26" s="283"/>
      <c r="D26" s="283"/>
      <c r="E26" s="283"/>
      <c r="F26" s="283"/>
      <c r="G26" s="283"/>
      <c r="H26" s="283"/>
    </row>
    <row r="27" spans="1:8" ht="19.5" customHeight="1" x14ac:dyDescent="0.2">
      <c r="A27" s="283"/>
      <c r="B27" s="283"/>
      <c r="C27" s="283"/>
      <c r="D27" s="283"/>
      <c r="E27" s="283"/>
      <c r="F27" s="283"/>
      <c r="G27" s="283"/>
      <c r="H27" s="283"/>
    </row>
    <row r="28" spans="1:8" ht="19.5" customHeight="1" x14ac:dyDescent="0.2">
      <c r="A28" s="283"/>
      <c r="B28" s="283"/>
      <c r="C28" s="283"/>
      <c r="D28" s="283"/>
      <c r="E28" s="283"/>
      <c r="F28" s="283"/>
      <c r="G28" s="283"/>
      <c r="H28" s="283"/>
    </row>
    <row r="29" spans="1:8" ht="19.5" customHeight="1" x14ac:dyDescent="0.2">
      <c r="A29" s="283"/>
      <c r="B29" s="283"/>
      <c r="C29" s="283"/>
      <c r="D29" s="283"/>
      <c r="E29" s="283"/>
      <c r="F29" s="283"/>
      <c r="G29" s="283"/>
      <c r="H29" s="283"/>
    </row>
    <row r="30" spans="1:8" ht="19.5" customHeight="1" x14ac:dyDescent="0.2">
      <c r="A30" s="283"/>
      <c r="B30" s="283"/>
      <c r="C30" s="283"/>
      <c r="D30" s="283"/>
      <c r="E30" s="283"/>
      <c r="F30" s="283"/>
      <c r="G30" s="283"/>
      <c r="H30" s="283"/>
    </row>
    <row r="31" spans="1:8" ht="19.5" customHeight="1" x14ac:dyDescent="0.2">
      <c r="A31" s="283"/>
      <c r="B31" s="283"/>
      <c r="C31" s="283"/>
      <c r="D31" s="283"/>
      <c r="E31" s="283"/>
      <c r="F31" s="283"/>
      <c r="G31" s="283"/>
      <c r="H31" s="283"/>
    </row>
    <row r="32" spans="1:8" ht="19.5" customHeight="1" x14ac:dyDescent="0.2">
      <c r="A32" s="283"/>
      <c r="B32" s="283"/>
      <c r="C32" s="283"/>
      <c r="D32" s="283"/>
      <c r="E32" s="283"/>
      <c r="F32" s="283"/>
      <c r="G32" s="283"/>
      <c r="H32" s="283"/>
    </row>
    <row r="33" spans="1:8" ht="9.75" customHeight="1" x14ac:dyDescent="0.2">
      <c r="A33" s="6"/>
      <c r="B33" s="6"/>
      <c r="C33" s="6"/>
      <c r="D33" s="6"/>
      <c r="E33" s="6"/>
      <c r="F33" s="6"/>
      <c r="G33" s="6"/>
      <c r="H33" s="6"/>
    </row>
    <row r="34" spans="1:8" ht="19.5" customHeight="1" x14ac:dyDescent="0.2">
      <c r="A34" s="284" t="s">
        <v>23</v>
      </c>
      <c r="B34" s="284"/>
      <c r="C34" s="284"/>
      <c r="D34" s="284"/>
      <c r="E34" s="284"/>
      <c r="F34" s="284"/>
      <c r="G34" s="284"/>
      <c r="H34" s="284"/>
    </row>
    <row r="37" spans="1:8" x14ac:dyDescent="0.2">
      <c r="A37" s="279" t="s">
        <v>260</v>
      </c>
      <c r="B37" s="279"/>
      <c r="C37" s="279"/>
      <c r="D37" s="279"/>
      <c r="E37" s="279"/>
      <c r="F37" s="279"/>
      <c r="G37" s="279"/>
      <c r="H37" s="279"/>
    </row>
    <row r="39" spans="1:8" x14ac:dyDescent="0.2">
      <c r="A39" s="277"/>
      <c r="B39" s="276" t="s">
        <v>324</v>
      </c>
      <c r="C39" s="276" t="s">
        <v>325</v>
      </c>
      <c r="D39" s="276"/>
    </row>
    <row r="40" spans="1:8" x14ac:dyDescent="0.2">
      <c r="A40" s="277" t="s">
        <v>323</v>
      </c>
      <c r="B40" s="278">
        <v>76.028573786770338</v>
      </c>
      <c r="C40" s="278">
        <v>84.476193096411478</v>
      </c>
    </row>
    <row r="41" spans="1:8" x14ac:dyDescent="0.2">
      <c r="A41" s="277" t="s">
        <v>197</v>
      </c>
      <c r="B41" s="278">
        <v>154.93823999999998</v>
      </c>
      <c r="C41" s="278">
        <v>172.15359999999998</v>
      </c>
    </row>
    <row r="42" spans="1:8" x14ac:dyDescent="0.2">
      <c r="A42" s="277" t="s">
        <v>198</v>
      </c>
      <c r="B42" s="278">
        <v>134.02920960000003</v>
      </c>
      <c r="C42" s="278">
        <v>148.92134400000003</v>
      </c>
    </row>
  </sheetData>
  <mergeCells count="13">
    <mergeCell ref="A37:H37"/>
    <mergeCell ref="A1:H4"/>
    <mergeCell ref="A6:H6"/>
    <mergeCell ref="A14:H14"/>
    <mergeCell ref="B15:H15"/>
    <mergeCell ref="B16:H16"/>
    <mergeCell ref="A24:H32"/>
    <mergeCell ref="A34:H34"/>
    <mergeCell ref="B17:H17"/>
    <mergeCell ref="B18:H18"/>
    <mergeCell ref="B19:H19"/>
    <mergeCell ref="B20:H20"/>
    <mergeCell ref="A23:H23"/>
  </mergeCells>
  <pageMargins left="0.75" right="0.75" top="1" bottom="1" header="0.511811023622047" footer="0.511811023622047"/>
  <pageSetup paperSize="9" orientation="portrait" horizontalDpi="300" verticalDpi="300"/>
  <ignoredErrors>
    <ignoredError sqref="B11:D11" formulaRange="1"/>
  </ignoredErrors>
  <drawing r:id="rId1"/>
</worksheet>
</file>

<file path=docProps/app.xml><?xml version="1.0" encoding="utf-8"?>
<Properties xmlns="http://schemas.openxmlformats.org/officeDocument/2006/extended-properties" xmlns:vt="http://schemas.openxmlformats.org/officeDocument/2006/docPropsVTypes">
  <Template/>
  <TotalTime>0</TotalTime>
  <Application>Excel Android</Application>
  <DocSecurity>0</DocSecurity>
  <ScaleCrop>false</ScaleCrop>
  <HeadingPairs>
    <vt:vector size="2" baseType="variant">
      <vt:variant>
        <vt:lpstr>Worksheets</vt:lpstr>
      </vt:variant>
      <vt:variant>
        <vt:i4>7</vt:i4>
      </vt:variant>
    </vt:vector>
  </HeadingPairs>
  <TitlesOfParts>
    <vt:vector size="7" baseType="lpstr">
      <vt:lpstr>COVER</vt:lpstr>
      <vt:lpstr>HISTORICAL</vt:lpstr>
      <vt:lpstr>ASSUMPTIONS</vt:lpstr>
      <vt:lpstr>PROJECTIONS</vt:lpstr>
      <vt:lpstr>DCF VALUATION</vt:lpstr>
      <vt:lpstr>COMPARABLES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Prince Vashisht</dc:creator>
  <dc:description/>
  <cp:lastModifiedBy>sameer ahmed</cp:lastModifiedBy>
  <cp:revision>0</cp:revision>
  <dcterms:created xsi:type="dcterms:W3CDTF">2026-03-28T09:17:13Z</dcterms:created>
  <dcterms:modified xsi:type="dcterms:W3CDTF">2026-04-22T19:32:41Z</dcterms:modified>
  <dc:language>en-US</dc:language>
</cp:coreProperties>
</file>